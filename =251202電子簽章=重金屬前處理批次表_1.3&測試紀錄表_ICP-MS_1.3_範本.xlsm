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mllab\share\無機B組公用\N_個人資料夾\Tommy\3.表單改版\1.工作表單\批次表&amp;試算表\MS\"/>
    </mc:Choice>
  </mc:AlternateContent>
  <xr:revisionPtr revIDLastSave="0" documentId="13_ncr:1_{B5B03214-04D1-469D-8906-6947FE218C50}" xr6:coauthVersionLast="47" xr6:coauthVersionMax="47" xr10:uidLastSave="{00000000-0000-0000-0000-000000000000}"/>
  <bookViews>
    <workbookView xWindow="-120" yWindow="-120" windowWidth="25440" windowHeight="15270" tabRatio="744" firstSheet="2" activeTab="2" xr2:uid="{00000000-000D-0000-FFFF-FFFF00000000}"/>
  </bookViews>
  <sheets>
    <sheet name="FMS" sheetId="52" r:id="rId1"/>
    <sheet name="樣品清單" sheetId="5" r:id="rId2"/>
    <sheet name="WorkSheet" sheetId="1" r:id="rId3"/>
    <sheet name="測試方法" sheetId="10" r:id="rId4"/>
    <sheet name="RawData" sheetId="19" r:id="rId5"/>
    <sheet name="Replicates" sheetId="53" r:id="rId6"/>
    <sheet name="sample1" sheetId="54" r:id="rId7"/>
    <sheet name="sample2" sheetId="20" r:id="rId8"/>
    <sheet name="sample3" sheetId="25" r:id="rId9"/>
    <sheet name="sample4" sheetId="26" r:id="rId10"/>
    <sheet name="sample5" sheetId="27" r:id="rId11"/>
    <sheet name="sample6" sheetId="28" r:id="rId12"/>
    <sheet name="sample7" sheetId="29" r:id="rId13"/>
    <sheet name="sample8" sheetId="30" r:id="rId14"/>
    <sheet name="sample9" sheetId="31" r:id="rId15"/>
    <sheet name="sample10" sheetId="32" r:id="rId16"/>
    <sheet name="sample11" sheetId="33" r:id="rId17"/>
    <sheet name="sample12" sheetId="43" r:id="rId18"/>
    <sheet name="sample13" sheetId="44" r:id="rId19"/>
    <sheet name="sample14" sheetId="45" r:id="rId20"/>
    <sheet name="sample15" sheetId="46" r:id="rId21"/>
    <sheet name="sample16" sheetId="47" r:id="rId22"/>
    <sheet name="sample17" sheetId="48" r:id="rId23"/>
    <sheet name="sample18" sheetId="49" r:id="rId24"/>
    <sheet name="sample19" sheetId="50" r:id="rId25"/>
    <sheet name="sample20" sheetId="51" r:id="rId26"/>
  </sheets>
  <externalReferences>
    <externalReference r:id="rId27"/>
  </externalReferences>
  <definedNames>
    <definedName name="_xlnm._FilterDatabase" localSheetId="0" hidden="1">FMS!$A$1:$K$1070</definedName>
    <definedName name="_xlnm._FilterDatabase" localSheetId="1" hidden="1">樣品清單!$B$2:$E$22</definedName>
    <definedName name="Date">FMS!$A:$A</definedName>
    <definedName name="Digestion">WorkSheet!$AJ$28:$AJ$38</definedName>
    <definedName name="FMS_Job">FMS!$B:$B</definedName>
    <definedName name="HT1_">WorkSheet!$AS$28:$AS$38</definedName>
    <definedName name="HT2_">WorkSheet!$BA$28:$BA$38</definedName>
    <definedName name="job_name">FMS!$G:$G</definedName>
    <definedName name="Job_No">樣品清單!$B:$B</definedName>
    <definedName name="Lab_Reference">FMS!$H:$H</definedName>
    <definedName name="LOQ">測試方法!$N$1:$AJ$40</definedName>
    <definedName name="Method">測試方法!$A:$A</definedName>
    <definedName name="_xlnm.Print_Area" localSheetId="5">Replicates!$A$1:$M$31</definedName>
    <definedName name="_xlnm.Print_Area" localSheetId="6">sample1!$A$1:$AE$50</definedName>
    <definedName name="_xlnm.Print_Area" localSheetId="15">sample10!$A$1:$AE$50</definedName>
    <definedName name="_xlnm.Print_Area" localSheetId="16">sample11!$A$1:$AE$50</definedName>
    <definedName name="_xlnm.Print_Area" localSheetId="17">sample12!$A$1:$AE$50</definedName>
    <definedName name="_xlnm.Print_Area" localSheetId="18">sample13!$A$1:$AE$50</definedName>
    <definedName name="_xlnm.Print_Area" localSheetId="19">sample14!$A$1:$AE$50</definedName>
    <definedName name="_xlnm.Print_Area" localSheetId="20">sample15!$A$1:$AE$50</definedName>
    <definedName name="_xlnm.Print_Area" localSheetId="21">sample16!$A$1:$AE$50</definedName>
    <definedName name="_xlnm.Print_Area" localSheetId="22">sample17!$A$1:$AE$50</definedName>
    <definedName name="_xlnm.Print_Area" localSheetId="23">sample18!$A$1:$AE$50</definedName>
    <definedName name="_xlnm.Print_Area" localSheetId="24">sample19!$A$1:$AE$50</definedName>
    <definedName name="_xlnm.Print_Area" localSheetId="7">sample2!$A$1:$AE$50</definedName>
    <definedName name="_xlnm.Print_Area" localSheetId="25">sample20!$A$1:$AE$50</definedName>
    <definedName name="_xlnm.Print_Area" localSheetId="8">sample3!$A$1:$AE$50</definedName>
    <definedName name="_xlnm.Print_Area" localSheetId="9">sample4!$A$1:$AE$50</definedName>
    <definedName name="_xlnm.Print_Area" localSheetId="10">sample5!$A$1:$AE$50</definedName>
    <definedName name="_xlnm.Print_Area" localSheetId="11">sample6!$A$1:$AE$50</definedName>
    <definedName name="_xlnm.Print_Area" localSheetId="12">sample7!$A$1:$AE$50</definedName>
    <definedName name="_xlnm.Print_Area" localSheetId="13">sample8!$A$1:$AE$50</definedName>
    <definedName name="_xlnm.Print_Area" localSheetId="14">sample9!$A$1:$AE$50</definedName>
    <definedName name="_xlnm.Print_Area" localSheetId="2">WorkSheet!$B$1:$AD$52</definedName>
    <definedName name="_xlnm.Print_Area" localSheetId="1">樣品清單!$A$1:$BA$22</definedName>
    <definedName name="_xlnm.Print_Titles" localSheetId="5">Replicates!$1:$3</definedName>
    <definedName name="_xlnm.Print_Titles" localSheetId="2">WorkSheet!$1:$2</definedName>
    <definedName name="RP">WorkSheet!$AE:$AE</definedName>
    <definedName name="RT1_">WorkSheet!$AO$28:$AO$38</definedName>
    <definedName name="RT2_">WorkSheet!$AW$28:$AW$38</definedName>
    <definedName name="samplename">樣品清單!$C:$C</definedName>
    <definedName name="T1_">WorkSheet!$AQ$28:$AQ$38</definedName>
    <definedName name="T2_">WorkSheet!$AY$28:$AY$38</definedName>
    <definedName name="TEST">FMS!$I:$I</definedName>
    <definedName name="title">FMS!$1:$1</definedName>
    <definedName name="V">WorkSheet!$L:$L</definedName>
    <definedName name="W">WorkSheet!$I:$I</definedName>
    <definedName name="W1_">WorkSheet!$AM$28:$AM$38</definedName>
    <definedName name="W2_">WorkSheet!$AU$28:$AU$38</definedName>
    <definedName name="內標">測試方法!$I:$I</definedName>
    <definedName name="代號">測試方法!$B:$B</definedName>
    <definedName name="共用">FMS!$K:$K</definedName>
    <definedName name="取樣單位">測試方法!$L:$L</definedName>
    <definedName name="取樣量">測試方法!$K:$K</definedName>
    <definedName name="定量體積">測試方法!$J:$J</definedName>
    <definedName name="消化參數">測試方法!$M:$M</definedName>
    <definedName name="特殊需求">FMS!$J:$J</definedName>
    <definedName name="氫氟酸">測試方法!$F:$F</definedName>
    <definedName name="硝酸">測試方法!$C:$C</definedName>
    <definedName name="超純硝酸">測試方法!$D:$D</definedName>
    <definedName name="過氧化氫">測試方法!$G:$G</definedName>
    <definedName name="鹽酸">測試方法!$E:$E</definedName>
  </definedNames>
  <calcPr calcId="191029" concurrentManualCount="6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20" l="1"/>
  <c r="M12" i="25"/>
  <c r="M12" i="26"/>
  <c r="M12" i="27"/>
  <c r="M12" i="28"/>
  <c r="M12" i="29"/>
  <c r="M12" i="30"/>
  <c r="M12" i="31"/>
  <c r="M12" i="32"/>
  <c r="M12" i="33"/>
  <c r="M12" i="43"/>
  <c r="M12" i="44"/>
  <c r="M12" i="45"/>
  <c r="M12" i="46"/>
  <c r="M12" i="47"/>
  <c r="M12" i="48"/>
  <c r="M12" i="49"/>
  <c r="M12" i="50"/>
  <c r="M12" i="51"/>
  <c r="M12" i="54"/>
  <c r="I33" i="10" l="1"/>
  <c r="I34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15" i="10"/>
  <c r="I5" i="10"/>
  <c r="I6" i="10"/>
  <c r="I7" i="10"/>
  <c r="I8" i="10"/>
  <c r="I9" i="10"/>
  <c r="I10" i="10"/>
  <c r="I11" i="10"/>
  <c r="I12" i="10"/>
  <c r="I13" i="10"/>
  <c r="I4" i="10"/>
  <c r="E13" i="1"/>
  <c r="A10" i="1" l="1"/>
  <c r="A9" i="1"/>
  <c r="A8" i="1"/>
  <c r="I44" i="20"/>
  <c r="I44" i="25"/>
  <c r="I44" i="26"/>
  <c r="I44" i="27"/>
  <c r="I44" i="28"/>
  <c r="I44" i="29"/>
  <c r="I44" i="30"/>
  <c r="I44" i="31"/>
  <c r="I44" i="32"/>
  <c r="I44" i="33"/>
  <c r="I44" i="43"/>
  <c r="I44" i="44"/>
  <c r="I44" i="45"/>
  <c r="I44" i="46"/>
  <c r="I44" i="47"/>
  <c r="I44" i="48"/>
  <c r="I44" i="49"/>
  <c r="I44" i="50"/>
  <c r="I44" i="51"/>
  <c r="I44" i="54"/>
  <c r="F44" i="20"/>
  <c r="F44" i="25"/>
  <c r="F44" i="26"/>
  <c r="F44" i="27"/>
  <c r="F44" i="28"/>
  <c r="F44" i="29"/>
  <c r="F44" i="30"/>
  <c r="F44" i="31"/>
  <c r="F44" i="32"/>
  <c r="F44" i="33"/>
  <c r="F44" i="43"/>
  <c r="F44" i="44"/>
  <c r="F44" i="45"/>
  <c r="F44" i="46"/>
  <c r="F44" i="47"/>
  <c r="F44" i="48"/>
  <c r="F44" i="49"/>
  <c r="F44" i="50"/>
  <c r="F44" i="51"/>
  <c r="F44" i="54"/>
  <c r="I43" i="20"/>
  <c r="I43" i="25"/>
  <c r="I43" i="26"/>
  <c r="I43" i="27"/>
  <c r="I43" i="28"/>
  <c r="I43" i="29"/>
  <c r="I43" i="30"/>
  <c r="I43" i="31"/>
  <c r="I43" i="32"/>
  <c r="I43" i="33"/>
  <c r="I43" i="43"/>
  <c r="I43" i="44"/>
  <c r="I43" i="45"/>
  <c r="I43" i="46"/>
  <c r="I43" i="47"/>
  <c r="I43" i="48"/>
  <c r="I43" i="49"/>
  <c r="I43" i="50"/>
  <c r="I43" i="51"/>
  <c r="I43" i="54"/>
  <c r="F43" i="20"/>
  <c r="F43" i="25"/>
  <c r="F43" i="26"/>
  <c r="F43" i="27"/>
  <c r="F43" i="28"/>
  <c r="F43" i="29"/>
  <c r="F43" i="30"/>
  <c r="F43" i="31"/>
  <c r="F43" i="32"/>
  <c r="F43" i="33"/>
  <c r="F43" i="43"/>
  <c r="F43" i="44"/>
  <c r="F43" i="45"/>
  <c r="F43" i="46"/>
  <c r="F43" i="47"/>
  <c r="F43" i="48"/>
  <c r="F43" i="49"/>
  <c r="F43" i="50"/>
  <c r="F43" i="51"/>
  <c r="F43" i="54"/>
  <c r="I42" i="20"/>
  <c r="I42" i="25"/>
  <c r="I42" i="26"/>
  <c r="I42" i="27"/>
  <c r="I42" i="28"/>
  <c r="I42" i="29"/>
  <c r="I42" i="30"/>
  <c r="I42" i="31"/>
  <c r="I42" i="32"/>
  <c r="I42" i="33"/>
  <c r="I42" i="43"/>
  <c r="I42" i="44"/>
  <c r="I42" i="45"/>
  <c r="I42" i="46"/>
  <c r="I42" i="47"/>
  <c r="I42" i="48"/>
  <c r="I42" i="49"/>
  <c r="I42" i="50"/>
  <c r="I42" i="51"/>
  <c r="I42" i="54"/>
  <c r="F42" i="20"/>
  <c r="F42" i="25"/>
  <c r="F42" i="26"/>
  <c r="F42" i="27"/>
  <c r="F42" i="28"/>
  <c r="F42" i="29"/>
  <c r="F42" i="30"/>
  <c r="F42" i="31"/>
  <c r="F42" i="32"/>
  <c r="F42" i="33"/>
  <c r="F42" i="43"/>
  <c r="F42" i="44"/>
  <c r="F42" i="45"/>
  <c r="F42" i="46"/>
  <c r="F42" i="47"/>
  <c r="F42" i="48"/>
  <c r="F42" i="49"/>
  <c r="F42" i="50"/>
  <c r="F42" i="51"/>
  <c r="F42" i="54"/>
  <c r="I41" i="20"/>
  <c r="I41" i="25"/>
  <c r="I41" i="26"/>
  <c r="I41" i="27"/>
  <c r="I41" i="28"/>
  <c r="I41" i="29"/>
  <c r="I41" i="30"/>
  <c r="I41" i="31"/>
  <c r="I41" i="32"/>
  <c r="I41" i="33"/>
  <c r="I41" i="43"/>
  <c r="I41" i="44"/>
  <c r="I41" i="45"/>
  <c r="I41" i="46"/>
  <c r="I41" i="47"/>
  <c r="I41" i="48"/>
  <c r="I41" i="49"/>
  <c r="I41" i="50"/>
  <c r="I41" i="51"/>
  <c r="I41" i="54"/>
  <c r="F41" i="20"/>
  <c r="F41" i="25"/>
  <c r="F41" i="26"/>
  <c r="F41" i="27"/>
  <c r="F41" i="28"/>
  <c r="F41" i="29"/>
  <c r="F41" i="30"/>
  <c r="F41" i="31"/>
  <c r="F41" i="32"/>
  <c r="F41" i="33"/>
  <c r="F41" i="43"/>
  <c r="F41" i="44"/>
  <c r="F41" i="45"/>
  <c r="F41" i="46"/>
  <c r="F41" i="47"/>
  <c r="F41" i="48"/>
  <c r="F41" i="49"/>
  <c r="F41" i="50"/>
  <c r="F41" i="51"/>
  <c r="F41" i="54"/>
  <c r="S11" i="1"/>
  <c r="AM2" i="10"/>
  <c r="AK2" i="10"/>
  <c r="AI2" i="10"/>
  <c r="AG2" i="10"/>
  <c r="AF2" i="10"/>
  <c r="AE2" i="10"/>
  <c r="AC2" i="10"/>
  <c r="AB2" i="10"/>
  <c r="AA2" i="10"/>
  <c r="Z2" i="10"/>
  <c r="Y2" i="10"/>
  <c r="X2" i="10"/>
  <c r="W2" i="10"/>
  <c r="U2" i="10"/>
  <c r="T2" i="10"/>
  <c r="S2" i="10"/>
  <c r="Q2" i="10"/>
  <c r="P2" i="10"/>
  <c r="O2" i="10"/>
  <c r="AB48" i="1" l="1"/>
  <c r="AB47" i="1"/>
  <c r="AB46" i="1"/>
  <c r="AB45" i="1"/>
  <c r="AB44" i="1"/>
  <c r="A42" i="1"/>
  <c r="B41" i="1" l="1"/>
  <c r="N45" i="1" s="1"/>
  <c r="A13" i="1"/>
  <c r="Y13" i="1" s="1"/>
  <c r="A12" i="1"/>
  <c r="S12" i="1" s="1"/>
  <c r="B46" i="1"/>
  <c r="K46" i="1"/>
  <c r="S8" i="1"/>
  <c r="Y9" i="1"/>
  <c r="Y8" i="1"/>
  <c r="X10" i="1"/>
  <c r="V9" i="1"/>
  <c r="V8" i="1"/>
  <c r="S10" i="1"/>
  <c r="S9" i="1"/>
  <c r="I14" i="1"/>
  <c r="L16" i="1"/>
  <c r="A16" i="1"/>
  <c r="A18" i="1" s="1"/>
  <c r="Y12" i="1" l="1"/>
  <c r="K45" i="1"/>
  <c r="E43" i="26"/>
  <c r="E43" i="32"/>
  <c r="E43" i="47"/>
  <c r="E43" i="27"/>
  <c r="E43" i="33"/>
  <c r="E43" i="48"/>
  <c r="E43" i="28"/>
  <c r="E43" i="43"/>
  <c r="E43" i="49"/>
  <c r="E43" i="29"/>
  <c r="E43" i="44"/>
  <c r="E43" i="50"/>
  <c r="E43" i="20"/>
  <c r="E43" i="30"/>
  <c r="E43" i="45"/>
  <c r="E43" i="51"/>
  <c r="E43" i="25"/>
  <c r="E43" i="31"/>
  <c r="E43" i="46"/>
  <c r="E43" i="54"/>
  <c r="E44" i="1"/>
  <c r="K44" i="1"/>
  <c r="E42" i="26"/>
  <c r="E42" i="32"/>
  <c r="E42" i="47"/>
  <c r="E42" i="27"/>
  <c r="E42" i="33"/>
  <c r="E42" i="48"/>
  <c r="E42" i="28"/>
  <c r="E42" i="43"/>
  <c r="E42" i="49"/>
  <c r="E42" i="29"/>
  <c r="E42" i="44"/>
  <c r="E42" i="50"/>
  <c r="E42" i="20"/>
  <c r="E42" i="30"/>
  <c r="E42" i="45"/>
  <c r="E42" i="51"/>
  <c r="E42" i="25"/>
  <c r="E42" i="31"/>
  <c r="E42" i="46"/>
  <c r="E42" i="54"/>
  <c r="V12" i="1"/>
  <c r="E45" i="1"/>
  <c r="N44" i="1"/>
  <c r="H44" i="1"/>
  <c r="S13" i="1"/>
  <c r="V13" i="1"/>
  <c r="H45" i="1"/>
  <c r="N49" i="1"/>
  <c r="Q50" i="1"/>
  <c r="Q49" i="1"/>
  <c r="N50" i="1"/>
  <c r="E50" i="1"/>
  <c r="H49" i="1"/>
  <c r="E49" i="1"/>
  <c r="H50" i="1"/>
  <c r="L44" i="20"/>
  <c r="L44" i="25"/>
  <c r="L44" i="26"/>
  <c r="L44" i="27"/>
  <c r="L44" i="28"/>
  <c r="L44" i="29"/>
  <c r="L44" i="30"/>
  <c r="L44" i="31"/>
  <c r="L44" i="32"/>
  <c r="L44" i="33"/>
  <c r="L44" i="43"/>
  <c r="L44" i="44"/>
  <c r="L44" i="45"/>
  <c r="L44" i="46"/>
  <c r="L44" i="47"/>
  <c r="L44" i="48"/>
  <c r="L44" i="49"/>
  <c r="L44" i="50"/>
  <c r="L44" i="51"/>
  <c r="L44" i="54"/>
  <c r="L43" i="20"/>
  <c r="L43" i="25"/>
  <c r="L43" i="26"/>
  <c r="L43" i="27"/>
  <c r="L43" i="28"/>
  <c r="L43" i="29"/>
  <c r="L43" i="30"/>
  <c r="L43" i="31"/>
  <c r="L43" i="32"/>
  <c r="L43" i="33"/>
  <c r="L43" i="43"/>
  <c r="L43" i="44"/>
  <c r="L43" i="45"/>
  <c r="L43" i="46"/>
  <c r="L43" i="47"/>
  <c r="L43" i="48"/>
  <c r="L43" i="49"/>
  <c r="L43" i="50"/>
  <c r="L43" i="51"/>
  <c r="L43" i="54"/>
  <c r="L42" i="20"/>
  <c r="L42" i="25"/>
  <c r="L42" i="26"/>
  <c r="L42" i="27"/>
  <c r="L42" i="28"/>
  <c r="L42" i="29"/>
  <c r="L42" i="30"/>
  <c r="L42" i="31"/>
  <c r="L42" i="32"/>
  <c r="L42" i="33"/>
  <c r="L42" i="43"/>
  <c r="L42" i="44"/>
  <c r="L42" i="45"/>
  <c r="L42" i="46"/>
  <c r="L42" i="47"/>
  <c r="L42" i="48"/>
  <c r="L42" i="49"/>
  <c r="L42" i="50"/>
  <c r="L42" i="51"/>
  <c r="L42" i="54"/>
  <c r="L41" i="20"/>
  <c r="L41" i="25"/>
  <c r="L41" i="26"/>
  <c r="L41" i="27"/>
  <c r="L41" i="28"/>
  <c r="L41" i="29"/>
  <c r="L41" i="30"/>
  <c r="L41" i="31"/>
  <c r="L41" i="32"/>
  <c r="L41" i="33"/>
  <c r="L41" i="43"/>
  <c r="L41" i="44"/>
  <c r="L41" i="45"/>
  <c r="L41" i="46"/>
  <c r="L41" i="47"/>
  <c r="L41" i="48"/>
  <c r="L41" i="49"/>
  <c r="L41" i="50"/>
  <c r="L41" i="51"/>
  <c r="L41" i="54"/>
  <c r="W18" i="1"/>
  <c r="E44" i="26" l="1"/>
  <c r="E44" i="32"/>
  <c r="E44" i="47"/>
  <c r="E44" i="27"/>
  <c r="E44" i="33"/>
  <c r="E44" i="48"/>
  <c r="E44" i="28"/>
  <c r="E44" i="43"/>
  <c r="E44" i="49"/>
  <c r="E44" i="29"/>
  <c r="E44" i="44"/>
  <c r="E44" i="50"/>
  <c r="E44" i="20"/>
  <c r="E44" i="30"/>
  <c r="E44" i="45"/>
  <c r="E44" i="51"/>
  <c r="E44" i="25"/>
  <c r="E44" i="31"/>
  <c r="E44" i="46"/>
  <c r="E44" i="54"/>
  <c r="G21" i="1"/>
  <c r="E4" i="5"/>
  <c r="B4" i="5"/>
  <c r="L45" i="54" l="1"/>
  <c r="L45" i="20"/>
  <c r="L45" i="25"/>
  <c r="L45" i="26"/>
  <c r="L45" i="27"/>
  <c r="L45" i="28"/>
  <c r="L45" i="29"/>
  <c r="L45" i="30"/>
  <c r="L45" i="31"/>
  <c r="L45" i="32"/>
  <c r="L45" i="33"/>
  <c r="L45" i="43"/>
  <c r="L45" i="44"/>
  <c r="L45" i="45"/>
  <c r="L45" i="46"/>
  <c r="L45" i="47"/>
  <c r="L45" i="48"/>
  <c r="L45" i="49"/>
  <c r="L45" i="50"/>
  <c r="L45" i="51"/>
  <c r="I45" i="54"/>
  <c r="I45" i="20"/>
  <c r="I45" i="25"/>
  <c r="I45" i="26"/>
  <c r="I45" i="27"/>
  <c r="I45" i="28"/>
  <c r="I45" i="29"/>
  <c r="I45" i="30"/>
  <c r="I45" i="31"/>
  <c r="I45" i="32"/>
  <c r="I45" i="33"/>
  <c r="I45" i="43"/>
  <c r="I45" i="44"/>
  <c r="I45" i="45"/>
  <c r="I45" i="46"/>
  <c r="I45" i="47"/>
  <c r="I45" i="48"/>
  <c r="I45" i="49"/>
  <c r="I45" i="50"/>
  <c r="I45" i="51"/>
  <c r="F45" i="20"/>
  <c r="F45" i="25"/>
  <c r="F45" i="26"/>
  <c r="F45" i="27"/>
  <c r="F45" i="28"/>
  <c r="F45" i="29"/>
  <c r="F45" i="30"/>
  <c r="F45" i="31"/>
  <c r="F45" i="32"/>
  <c r="F45" i="33"/>
  <c r="F45" i="43"/>
  <c r="F45" i="44"/>
  <c r="F45" i="45"/>
  <c r="F45" i="46"/>
  <c r="F45" i="47"/>
  <c r="F45" i="48"/>
  <c r="F45" i="49"/>
  <c r="F45" i="50"/>
  <c r="F45" i="51"/>
  <c r="F45" i="54"/>
  <c r="Y56" i="1"/>
  <c r="N56" i="1"/>
  <c r="P45" i="54" l="1"/>
  <c r="O45" i="54"/>
  <c r="K45" i="54"/>
  <c r="H45" i="54"/>
  <c r="E45" i="54"/>
  <c r="K44" i="54"/>
  <c r="H44" i="54"/>
  <c r="K43" i="54"/>
  <c r="H43" i="54"/>
  <c r="K42" i="54"/>
  <c r="H42" i="54"/>
  <c r="K41" i="54"/>
  <c r="H41" i="54"/>
  <c r="E41" i="54"/>
  <c r="D5" i="54"/>
  <c r="J7" i="54" l="1"/>
  <c r="AB18" i="54"/>
  <c r="O18" i="54"/>
  <c r="AT4" i="54"/>
  <c r="D18" i="54"/>
  <c r="B12" i="1"/>
  <c r="W19" i="1" l="1"/>
  <c r="K12" i="1" l="1" a="1"/>
  <c r="K12" i="1" s="1"/>
  <c r="R10" i="54" s="1"/>
  <c r="K10" i="54" l="1"/>
  <c r="G10" i="54" s="1"/>
  <c r="K10" i="20"/>
  <c r="G10" i="20" s="1"/>
  <c r="K10" i="28"/>
  <c r="G10" i="28" s="1"/>
  <c r="K10" i="32"/>
  <c r="G10" i="32" s="1"/>
  <c r="K10" i="45"/>
  <c r="G10" i="45" s="1"/>
  <c r="K10" i="49"/>
  <c r="G10" i="49" s="1"/>
  <c r="K10" i="31"/>
  <c r="G10" i="31" s="1"/>
  <c r="K10" i="48"/>
  <c r="G10" i="48" s="1"/>
  <c r="K10" i="25"/>
  <c r="G10" i="25" s="1"/>
  <c r="K10" i="29"/>
  <c r="G10" i="29" s="1"/>
  <c r="K10" i="33"/>
  <c r="G10" i="33" s="1"/>
  <c r="K10" i="46"/>
  <c r="G10" i="46" s="1"/>
  <c r="K10" i="50"/>
  <c r="G10" i="50" s="1"/>
  <c r="K10" i="27"/>
  <c r="G10" i="27" s="1"/>
  <c r="K10" i="26"/>
  <c r="G10" i="26" s="1"/>
  <c r="K10" i="30"/>
  <c r="G10" i="30" s="1"/>
  <c r="K10" i="43"/>
  <c r="G10" i="43" s="1"/>
  <c r="K10" i="47"/>
  <c r="G10" i="47" s="1"/>
  <c r="K10" i="51"/>
  <c r="G10" i="51" s="1"/>
  <c r="K10" i="44"/>
  <c r="G10" i="44" s="1"/>
  <c r="R10" i="26"/>
  <c r="N10" i="26" s="1"/>
  <c r="R10" i="29"/>
  <c r="N10" i="29" s="1"/>
  <c r="R10" i="32"/>
  <c r="N10" i="32" s="1"/>
  <c r="R10" i="48"/>
  <c r="N10" i="48" s="1"/>
  <c r="R10" i="51"/>
  <c r="N10" i="51" s="1"/>
  <c r="R10" i="50"/>
  <c r="N10" i="50" s="1"/>
  <c r="R10" i="25"/>
  <c r="N10" i="25" s="1"/>
  <c r="R10" i="28"/>
  <c r="N10" i="28" s="1"/>
  <c r="R10" i="44"/>
  <c r="N10" i="44" s="1"/>
  <c r="R10" i="47"/>
  <c r="N10" i="47" s="1"/>
  <c r="R10" i="46"/>
  <c r="N10" i="46" s="1"/>
  <c r="R10" i="49"/>
  <c r="N10" i="49" s="1"/>
  <c r="R10" i="20"/>
  <c r="R10" i="31"/>
  <c r="N10" i="31" s="1"/>
  <c r="R10" i="43"/>
  <c r="N10" i="43" s="1"/>
  <c r="R10" i="33"/>
  <c r="N10" i="33" s="1"/>
  <c r="R10" i="45"/>
  <c r="N10" i="45" s="1"/>
  <c r="R10" i="27"/>
  <c r="N10" i="27" s="1"/>
  <c r="R10" i="30"/>
  <c r="N10" i="30" s="1"/>
  <c r="AF3" i="1"/>
  <c r="AF5" i="1"/>
  <c r="AF4" i="1"/>
  <c r="C16" i="1" l="1"/>
  <c r="AF16" i="1" s="1"/>
  <c r="AG18" i="54" s="1"/>
  <c r="AO18" i="54" s="1"/>
  <c r="C17" i="1"/>
  <c r="AF17" i="1" s="1"/>
  <c r="C18" i="1"/>
  <c r="AF18" i="1" s="1"/>
  <c r="C19" i="1"/>
  <c r="AF19" i="1" s="1"/>
  <c r="AO34" i="54" l="1"/>
  <c r="AO24" i="54"/>
  <c r="AO29" i="54"/>
  <c r="AO23" i="54"/>
  <c r="AO30" i="54"/>
  <c r="AO25" i="54"/>
  <c r="AO32" i="54"/>
  <c r="AO27" i="54"/>
  <c r="AO36" i="54"/>
  <c r="AO35" i="54"/>
  <c r="AO26" i="54"/>
  <c r="AO19" i="54"/>
  <c r="AO20" i="54"/>
  <c r="AO21" i="54"/>
  <c r="AO22" i="54"/>
  <c r="AO31" i="54"/>
  <c r="AO33" i="54"/>
  <c r="AO28" i="54"/>
  <c r="P45" i="51"/>
  <c r="O45" i="51"/>
  <c r="K45" i="51"/>
  <c r="H45" i="51"/>
  <c r="E45" i="51"/>
  <c r="K44" i="51"/>
  <c r="H44" i="51"/>
  <c r="K43" i="51"/>
  <c r="H43" i="51"/>
  <c r="K42" i="51"/>
  <c r="H42" i="51"/>
  <c r="K41" i="51"/>
  <c r="H41" i="51"/>
  <c r="E41" i="51"/>
  <c r="D5" i="51"/>
  <c r="P45" i="50"/>
  <c r="O45" i="50"/>
  <c r="K45" i="50"/>
  <c r="H45" i="50"/>
  <c r="E45" i="50"/>
  <c r="K44" i="50"/>
  <c r="H44" i="50"/>
  <c r="K43" i="50"/>
  <c r="H43" i="50"/>
  <c r="K42" i="50"/>
  <c r="H42" i="50"/>
  <c r="K41" i="50"/>
  <c r="H41" i="50"/>
  <c r="E41" i="50"/>
  <c r="D5" i="50"/>
  <c r="P45" i="49"/>
  <c r="O45" i="49"/>
  <c r="K45" i="49"/>
  <c r="H45" i="49"/>
  <c r="E45" i="49"/>
  <c r="K44" i="49"/>
  <c r="H44" i="49"/>
  <c r="K43" i="49"/>
  <c r="H43" i="49"/>
  <c r="K42" i="49"/>
  <c r="H42" i="49"/>
  <c r="K41" i="49"/>
  <c r="H41" i="49"/>
  <c r="E41" i="49"/>
  <c r="D5" i="49"/>
  <c r="P45" i="48"/>
  <c r="O45" i="48"/>
  <c r="K45" i="48"/>
  <c r="H45" i="48"/>
  <c r="E45" i="48"/>
  <c r="K44" i="48"/>
  <c r="H44" i="48"/>
  <c r="K43" i="48"/>
  <c r="H43" i="48"/>
  <c r="K42" i="48"/>
  <c r="H42" i="48"/>
  <c r="K41" i="48"/>
  <c r="H41" i="48"/>
  <c r="E41" i="48"/>
  <c r="D5" i="48"/>
  <c r="P45" i="47"/>
  <c r="O45" i="47"/>
  <c r="K45" i="47"/>
  <c r="H45" i="47"/>
  <c r="E45" i="47"/>
  <c r="K44" i="47"/>
  <c r="H44" i="47"/>
  <c r="K43" i="47"/>
  <c r="H43" i="47"/>
  <c r="K42" i="47"/>
  <c r="H42" i="47"/>
  <c r="K41" i="47"/>
  <c r="H41" i="47"/>
  <c r="E41" i="47"/>
  <c r="D5" i="47"/>
  <c r="P45" i="46"/>
  <c r="O45" i="46"/>
  <c r="K45" i="46"/>
  <c r="H45" i="46"/>
  <c r="E45" i="46"/>
  <c r="K44" i="46"/>
  <c r="H44" i="46"/>
  <c r="K43" i="46"/>
  <c r="H43" i="46"/>
  <c r="K42" i="46"/>
  <c r="H42" i="46"/>
  <c r="K41" i="46"/>
  <c r="H41" i="46"/>
  <c r="E41" i="46"/>
  <c r="D5" i="46"/>
  <c r="P45" i="45"/>
  <c r="O45" i="45"/>
  <c r="K45" i="45"/>
  <c r="H45" i="45"/>
  <c r="E45" i="45"/>
  <c r="K44" i="45"/>
  <c r="H44" i="45"/>
  <c r="K43" i="45"/>
  <c r="H43" i="45"/>
  <c r="K42" i="45"/>
  <c r="H42" i="45"/>
  <c r="K41" i="45"/>
  <c r="H41" i="45"/>
  <c r="E41" i="45"/>
  <c r="D5" i="45"/>
  <c r="P45" i="44"/>
  <c r="O45" i="44"/>
  <c r="K45" i="44"/>
  <c r="H45" i="44"/>
  <c r="E45" i="44"/>
  <c r="K44" i="44"/>
  <c r="H44" i="44"/>
  <c r="K43" i="44"/>
  <c r="H43" i="44"/>
  <c r="K42" i="44"/>
  <c r="H42" i="44"/>
  <c r="K41" i="44"/>
  <c r="H41" i="44"/>
  <c r="E41" i="44"/>
  <c r="D5" i="44"/>
  <c r="P45" i="43"/>
  <c r="O45" i="43"/>
  <c r="K45" i="43"/>
  <c r="H45" i="43"/>
  <c r="E45" i="43"/>
  <c r="K44" i="43"/>
  <c r="H44" i="43"/>
  <c r="K43" i="43"/>
  <c r="H43" i="43"/>
  <c r="K42" i="43"/>
  <c r="H42" i="43"/>
  <c r="K41" i="43"/>
  <c r="H41" i="43"/>
  <c r="E41" i="43"/>
  <c r="D5" i="43"/>
  <c r="P45" i="33"/>
  <c r="O45" i="33"/>
  <c r="K45" i="33"/>
  <c r="H45" i="33"/>
  <c r="E45" i="33"/>
  <c r="K44" i="33"/>
  <c r="H44" i="33"/>
  <c r="K43" i="33"/>
  <c r="H43" i="33"/>
  <c r="K42" i="33"/>
  <c r="H42" i="33"/>
  <c r="K41" i="33"/>
  <c r="H41" i="33"/>
  <c r="E41" i="33"/>
  <c r="D5" i="33"/>
  <c r="P45" i="32"/>
  <c r="O45" i="32"/>
  <c r="K45" i="32"/>
  <c r="H45" i="32"/>
  <c r="E45" i="32"/>
  <c r="K44" i="32"/>
  <c r="H44" i="32"/>
  <c r="K43" i="32"/>
  <c r="H43" i="32"/>
  <c r="K42" i="32"/>
  <c r="H42" i="32"/>
  <c r="K41" i="32"/>
  <c r="H41" i="32"/>
  <c r="E41" i="32"/>
  <c r="D5" i="32"/>
  <c r="P45" i="31"/>
  <c r="O45" i="31"/>
  <c r="K45" i="31"/>
  <c r="H45" i="31"/>
  <c r="E45" i="31"/>
  <c r="K44" i="31"/>
  <c r="H44" i="31"/>
  <c r="K43" i="31"/>
  <c r="H43" i="31"/>
  <c r="K42" i="31"/>
  <c r="H42" i="31"/>
  <c r="K41" i="31"/>
  <c r="H41" i="31"/>
  <c r="E41" i="31"/>
  <c r="D5" i="31"/>
  <c r="P45" i="30"/>
  <c r="O45" i="30"/>
  <c r="K45" i="30"/>
  <c r="H45" i="30"/>
  <c r="E45" i="30"/>
  <c r="K44" i="30"/>
  <c r="H44" i="30"/>
  <c r="K43" i="30"/>
  <c r="H43" i="30"/>
  <c r="K42" i="30"/>
  <c r="H42" i="30"/>
  <c r="K41" i="30"/>
  <c r="H41" i="30"/>
  <c r="E41" i="30"/>
  <c r="D5" i="30"/>
  <c r="P45" i="29"/>
  <c r="O45" i="29"/>
  <c r="K45" i="29"/>
  <c r="H45" i="29"/>
  <c r="E45" i="29"/>
  <c r="K44" i="29"/>
  <c r="H44" i="29"/>
  <c r="K43" i="29"/>
  <c r="H43" i="29"/>
  <c r="K42" i="29"/>
  <c r="H42" i="29"/>
  <c r="K41" i="29"/>
  <c r="H41" i="29"/>
  <c r="E41" i="29"/>
  <c r="D5" i="29"/>
  <c r="P45" i="28"/>
  <c r="O45" i="28"/>
  <c r="K45" i="28"/>
  <c r="H45" i="28"/>
  <c r="E45" i="28"/>
  <c r="K44" i="28"/>
  <c r="H44" i="28"/>
  <c r="K43" i="28"/>
  <c r="H43" i="28"/>
  <c r="K42" i="28"/>
  <c r="H42" i="28"/>
  <c r="K41" i="28"/>
  <c r="H41" i="28"/>
  <c r="E41" i="28"/>
  <c r="D5" i="28"/>
  <c r="P45" i="27"/>
  <c r="O45" i="27"/>
  <c r="K45" i="27"/>
  <c r="H45" i="27"/>
  <c r="E45" i="27"/>
  <c r="K44" i="27"/>
  <c r="H44" i="27"/>
  <c r="K43" i="27"/>
  <c r="H43" i="27"/>
  <c r="K42" i="27"/>
  <c r="H42" i="27"/>
  <c r="K41" i="27"/>
  <c r="H41" i="27"/>
  <c r="E41" i="27"/>
  <c r="D5" i="27"/>
  <c r="P45" i="26"/>
  <c r="O45" i="26"/>
  <c r="K45" i="26"/>
  <c r="H45" i="26"/>
  <c r="E45" i="26"/>
  <c r="K44" i="26"/>
  <c r="H44" i="26"/>
  <c r="K43" i="26"/>
  <c r="H43" i="26"/>
  <c r="K42" i="26"/>
  <c r="H42" i="26"/>
  <c r="K41" i="26"/>
  <c r="H41" i="26"/>
  <c r="E41" i="26"/>
  <c r="D5" i="26"/>
  <c r="P45" i="25"/>
  <c r="O45" i="25"/>
  <c r="K45" i="25"/>
  <c r="H45" i="25"/>
  <c r="E45" i="25"/>
  <c r="K44" i="25"/>
  <c r="H44" i="25"/>
  <c r="K43" i="25"/>
  <c r="H43" i="25"/>
  <c r="K42" i="25"/>
  <c r="H42" i="25"/>
  <c r="K41" i="25"/>
  <c r="H41" i="25"/>
  <c r="E41" i="25"/>
  <c r="D5" i="25"/>
  <c r="P45" i="20"/>
  <c r="O45" i="20"/>
  <c r="K45" i="20"/>
  <c r="H45" i="20"/>
  <c r="E45" i="20"/>
  <c r="K44" i="20"/>
  <c r="H44" i="20"/>
  <c r="K43" i="20"/>
  <c r="H43" i="20"/>
  <c r="K42" i="20"/>
  <c r="H42" i="20"/>
  <c r="K41" i="20"/>
  <c r="H41" i="20"/>
  <c r="E41" i="20"/>
  <c r="D5" i="20"/>
  <c r="K13" i="1"/>
  <c r="Z48" i="1"/>
  <c r="X48" i="1"/>
  <c r="V48" i="1"/>
  <c r="Z47" i="1"/>
  <c r="X47" i="1"/>
  <c r="V47" i="1"/>
  <c r="Z46" i="1"/>
  <c r="X46" i="1"/>
  <c r="V46" i="1"/>
  <c r="Z45" i="1"/>
  <c r="X45" i="1"/>
  <c r="V45" i="1"/>
  <c r="Z44" i="1"/>
  <c r="X44" i="1"/>
  <c r="V44" i="1"/>
  <c r="AB43" i="1"/>
  <c r="Z43" i="1"/>
  <c r="X43" i="1"/>
  <c r="V43" i="1"/>
  <c r="C39" i="1"/>
  <c r="AF39" i="1" s="1"/>
  <c r="C38" i="1"/>
  <c r="AF38" i="1" s="1"/>
  <c r="C37" i="1"/>
  <c r="AF37" i="1" s="1"/>
  <c r="C36" i="1"/>
  <c r="AF36" i="1" s="1"/>
  <c r="C35" i="1"/>
  <c r="AF35" i="1" s="1"/>
  <c r="C34" i="1"/>
  <c r="AF34" i="1" s="1"/>
  <c r="C33" i="1"/>
  <c r="AF33" i="1" s="1"/>
  <c r="C32" i="1"/>
  <c r="AF32" i="1" s="1"/>
  <c r="C31" i="1"/>
  <c r="AF31" i="1" s="1"/>
  <c r="C30" i="1"/>
  <c r="AF30" i="1" s="1"/>
  <c r="C29" i="1"/>
  <c r="AF29" i="1" s="1"/>
  <c r="C28" i="1"/>
  <c r="AF28" i="1" s="1"/>
  <c r="C27" i="1"/>
  <c r="AF27" i="1" s="1"/>
  <c r="C26" i="1"/>
  <c r="C25" i="1"/>
  <c r="AF25" i="1" s="1"/>
  <c r="C24" i="1"/>
  <c r="AF24" i="1" s="1"/>
  <c r="C23" i="1"/>
  <c r="C22" i="1"/>
  <c r="C21" i="1"/>
  <c r="C20" i="1"/>
  <c r="L19" i="1"/>
  <c r="K11" i="1" a="1"/>
  <c r="K11" i="1" s="1"/>
  <c r="D10" i="54" s="1"/>
  <c r="A10" i="54" s="1"/>
  <c r="K10" i="1" a="1"/>
  <c r="K10" i="1" s="1"/>
  <c r="Q9" i="54" s="1"/>
  <c r="N9" i="54" s="1"/>
  <c r="K9" i="1" a="1"/>
  <c r="K9" i="1" s="1"/>
  <c r="K9" i="54" s="1"/>
  <c r="G9" i="54" s="1"/>
  <c r="K8" i="1"/>
  <c r="D9" i="54" s="1"/>
  <c r="A9" i="54" s="1"/>
  <c r="D22" i="5" a="1"/>
  <c r="D22" i="5" s="1"/>
  <c r="C22" i="5" a="1"/>
  <c r="C22" i="5" s="1"/>
  <c r="D21" i="5" a="1"/>
  <c r="D21" i="5" s="1"/>
  <c r="C21" i="5" a="1"/>
  <c r="C21" i="5" s="1"/>
  <c r="D20" i="5" a="1"/>
  <c r="D20" i="5" s="1"/>
  <c r="C20" i="5" a="1"/>
  <c r="C20" i="5" s="1"/>
  <c r="D19" i="5" a="1"/>
  <c r="D19" i="5" s="1"/>
  <c r="C19" i="5" a="1"/>
  <c r="C19" i="5" s="1"/>
  <c r="D18" i="5" a="1"/>
  <c r="D18" i="5" s="1"/>
  <c r="C18" i="5" a="1"/>
  <c r="C18" i="5" s="1"/>
  <c r="D17" i="5" a="1"/>
  <c r="D17" i="5" s="1"/>
  <c r="C17" i="5" a="1"/>
  <c r="C17" i="5" s="1"/>
  <c r="D16" i="5" a="1"/>
  <c r="D16" i="5" s="1"/>
  <c r="C16" i="5" a="1"/>
  <c r="C16" i="5" s="1"/>
  <c r="D15" i="5" a="1"/>
  <c r="D15" i="5" s="1"/>
  <c r="C15" i="5" a="1"/>
  <c r="C15" i="5" s="1"/>
  <c r="D14" i="5" a="1"/>
  <c r="D14" i="5" s="1"/>
  <c r="C14" i="5" a="1"/>
  <c r="C14" i="5" s="1"/>
  <c r="D13" i="5" a="1"/>
  <c r="D13" i="5" s="1"/>
  <c r="C13" i="5" a="1"/>
  <c r="C13" i="5" s="1"/>
  <c r="D12" i="5" a="1"/>
  <c r="D12" i="5" s="1"/>
  <c r="C12" i="5" a="1"/>
  <c r="C12" i="5" s="1"/>
  <c r="D11" i="5" a="1"/>
  <c r="D11" i="5" s="1"/>
  <c r="C11" i="5" a="1"/>
  <c r="C11" i="5" s="1"/>
  <c r="D10" i="5" a="1"/>
  <c r="D10" i="5" s="1"/>
  <c r="C10" i="5" a="1"/>
  <c r="C10" i="5" s="1"/>
  <c r="D9" i="5" a="1"/>
  <c r="D9" i="5" s="1"/>
  <c r="C9" i="5" a="1"/>
  <c r="C9" i="5" s="1"/>
  <c r="D8" i="5" a="1"/>
  <c r="D8" i="5" s="1"/>
  <c r="C8" i="5" a="1"/>
  <c r="C8" i="5" s="1"/>
  <c r="D7" i="5" a="1"/>
  <c r="D7" i="5" s="1"/>
  <c r="C7" i="5" a="1"/>
  <c r="C7" i="5" s="1"/>
  <c r="D6" i="5" a="1"/>
  <c r="D6" i="5" s="1"/>
  <c r="C6" i="5" a="1"/>
  <c r="C6" i="5" s="1"/>
  <c r="D5" i="5" a="1"/>
  <c r="D5" i="5" s="1"/>
  <c r="C5" i="5" a="1"/>
  <c r="C5" i="5" s="1"/>
  <c r="D4" i="5" a="1"/>
  <c r="D4" i="5" s="1"/>
  <c r="C4" i="5" a="1"/>
  <c r="C4" i="5" s="1"/>
  <c r="D3" i="5" a="1"/>
  <c r="D3" i="5" s="1"/>
  <c r="C3" i="5" a="1"/>
  <c r="C3" i="5" s="1"/>
  <c r="L15" i="5" l="1"/>
  <c r="K15" i="5"/>
  <c r="K9" i="5"/>
  <c r="L9" i="5"/>
  <c r="K17" i="5"/>
  <c r="L17" i="5"/>
  <c r="K6" i="5"/>
  <c r="L6" i="5"/>
  <c r="L12" i="5"/>
  <c r="K12" i="5"/>
  <c r="K18" i="5"/>
  <c r="L18" i="5"/>
  <c r="K7" i="5"/>
  <c r="L7" i="5"/>
  <c r="L13" i="5"/>
  <c r="K13" i="5"/>
  <c r="K19" i="5"/>
  <c r="L19" i="5"/>
  <c r="L11" i="5"/>
  <c r="K11" i="5"/>
  <c r="K5" i="5"/>
  <c r="L5" i="5"/>
  <c r="K8" i="5"/>
  <c r="L8" i="5"/>
  <c r="L14" i="5"/>
  <c r="K14" i="5"/>
  <c r="K20" i="5"/>
  <c r="L20" i="5"/>
  <c r="K21" i="5"/>
  <c r="L21" i="5"/>
  <c r="K10" i="5"/>
  <c r="L10" i="5"/>
  <c r="L16" i="5"/>
  <c r="K16" i="5"/>
  <c r="K22" i="5"/>
  <c r="L22" i="5"/>
  <c r="K3" i="5"/>
  <c r="L3" i="5"/>
  <c r="L4" i="5"/>
  <c r="K4" i="5"/>
  <c r="J7" i="26"/>
  <c r="AB18" i="26"/>
  <c r="O18" i="26"/>
  <c r="J7" i="29"/>
  <c r="O18" i="29"/>
  <c r="AB18" i="29"/>
  <c r="J7" i="31"/>
  <c r="AB18" i="31"/>
  <c r="O18" i="31"/>
  <c r="J7" i="43"/>
  <c r="O18" i="43"/>
  <c r="AB18" i="43"/>
  <c r="J7" i="45"/>
  <c r="AB18" i="45"/>
  <c r="O18" i="45"/>
  <c r="J7" i="47"/>
  <c r="AB18" i="47"/>
  <c r="O18" i="47"/>
  <c r="J7" i="48"/>
  <c r="AB18" i="48"/>
  <c r="O18" i="48"/>
  <c r="J7" i="49"/>
  <c r="AB18" i="49"/>
  <c r="O18" i="49"/>
  <c r="J7" i="50"/>
  <c r="O18" i="50"/>
  <c r="AB18" i="50"/>
  <c r="J7" i="51"/>
  <c r="AB18" i="51"/>
  <c r="O18" i="51"/>
  <c r="J7" i="27"/>
  <c r="AB18" i="27"/>
  <c r="O18" i="27"/>
  <c r="J7" i="32"/>
  <c r="AB18" i="32"/>
  <c r="O18" i="32"/>
  <c r="J7" i="44"/>
  <c r="AB18" i="44"/>
  <c r="O18" i="44"/>
  <c r="J7" i="25"/>
  <c r="AB18" i="25"/>
  <c r="O18" i="25"/>
  <c r="J7" i="28"/>
  <c r="O18" i="28"/>
  <c r="AB18" i="28"/>
  <c r="J7" i="30"/>
  <c r="AB18" i="30"/>
  <c r="O18" i="30"/>
  <c r="J7" i="33"/>
  <c r="AB18" i="33"/>
  <c r="O18" i="33"/>
  <c r="J7" i="46"/>
  <c r="AB18" i="46"/>
  <c r="O18" i="46"/>
  <c r="J7" i="20"/>
  <c r="AB18" i="20"/>
  <c r="O18" i="20"/>
  <c r="AB9" i="5"/>
  <c r="AB12" i="5"/>
  <c r="AB15" i="5"/>
  <c r="AB18" i="5"/>
  <c r="AB21" i="5"/>
  <c r="AB10" i="5"/>
  <c r="AB13" i="5"/>
  <c r="AB16" i="5"/>
  <c r="AB19" i="5"/>
  <c r="AB22" i="5"/>
  <c r="AB4" i="5"/>
  <c r="AB3" i="5"/>
  <c r="AB7" i="5"/>
  <c r="AB5" i="5"/>
  <c r="AB8" i="5"/>
  <c r="AB11" i="5"/>
  <c r="AB14" i="5"/>
  <c r="AB17" i="5"/>
  <c r="AB20" i="5"/>
  <c r="AB6" i="5"/>
  <c r="Y6" i="5"/>
  <c r="Z6" i="5"/>
  <c r="Y9" i="5"/>
  <c r="Z9" i="5"/>
  <c r="Z12" i="5"/>
  <c r="Y12" i="5"/>
  <c r="Z15" i="5"/>
  <c r="Y15" i="5"/>
  <c r="Z18" i="5"/>
  <c r="Y18" i="5"/>
  <c r="Z21" i="5"/>
  <c r="Y21" i="5"/>
  <c r="Z3" i="5"/>
  <c r="Y3" i="5"/>
  <c r="Y4" i="5"/>
  <c r="Z4" i="5"/>
  <c r="Z10" i="5"/>
  <c r="Y10" i="5"/>
  <c r="Z13" i="5"/>
  <c r="Y13" i="5"/>
  <c r="S16" i="5"/>
  <c r="Z16" i="5"/>
  <c r="Y16" i="5"/>
  <c r="Z19" i="5"/>
  <c r="Y19" i="5"/>
  <c r="Z22" i="5"/>
  <c r="Y22" i="5"/>
  <c r="Z7" i="5"/>
  <c r="Y7" i="5"/>
  <c r="Y5" i="5"/>
  <c r="Z5" i="5"/>
  <c r="V8" i="5"/>
  <c r="Y8" i="5"/>
  <c r="Z8" i="5"/>
  <c r="Y11" i="5"/>
  <c r="Z11" i="5"/>
  <c r="Y14" i="5"/>
  <c r="Z14" i="5"/>
  <c r="Y17" i="5"/>
  <c r="Z17" i="5"/>
  <c r="Y20" i="5"/>
  <c r="Z20" i="5"/>
  <c r="AT4" i="20"/>
  <c r="AT4" i="26"/>
  <c r="AT4" i="28"/>
  <c r="AT4" i="30"/>
  <c r="AT4" i="32"/>
  <c r="AT4" i="43"/>
  <c r="AT4" i="45"/>
  <c r="AT4" i="47"/>
  <c r="AT4" i="49"/>
  <c r="AT4" i="51"/>
  <c r="AT4" i="25"/>
  <c r="AT4" i="27"/>
  <c r="AT4" i="29"/>
  <c r="AT4" i="31"/>
  <c r="AT4" i="33"/>
  <c r="AT4" i="44"/>
  <c r="AT4" i="46"/>
  <c r="AT4" i="48"/>
  <c r="AT4" i="50"/>
  <c r="AF26" i="1"/>
  <c r="AS32" i="29" s="1"/>
  <c r="AF20" i="1"/>
  <c r="AA3" i="54"/>
  <c r="D6" i="54"/>
  <c r="C3" i="53" s="1"/>
  <c r="Q9" i="20"/>
  <c r="N9" i="20" s="1"/>
  <c r="Q9" i="28"/>
  <c r="N9" i="28" s="1"/>
  <c r="Q9" i="45"/>
  <c r="N9" i="45" s="1"/>
  <c r="Q9" i="25"/>
  <c r="N9" i="25" s="1"/>
  <c r="Q9" i="29"/>
  <c r="N9" i="29" s="1"/>
  <c r="Q9" i="33"/>
  <c r="N9" i="33" s="1"/>
  <c r="Q9" i="46"/>
  <c r="N9" i="46" s="1"/>
  <c r="Q9" i="50"/>
  <c r="N9" i="50" s="1"/>
  <c r="Q9" i="26"/>
  <c r="N9" i="26" s="1"/>
  <c r="Q9" i="30"/>
  <c r="N9" i="30" s="1"/>
  <c r="Q9" i="43"/>
  <c r="N9" i="43" s="1"/>
  <c r="Q9" i="47"/>
  <c r="N9" i="47" s="1"/>
  <c r="Q9" i="51"/>
  <c r="N9" i="51" s="1"/>
  <c r="Q9" i="27"/>
  <c r="N9" i="27" s="1"/>
  <c r="Q9" i="31"/>
  <c r="N9" i="31" s="1"/>
  <c r="Q9" i="44"/>
  <c r="N9" i="44" s="1"/>
  <c r="Q9" i="48"/>
  <c r="N9" i="48" s="1"/>
  <c r="Q9" i="32"/>
  <c r="N9" i="32" s="1"/>
  <c r="Q9" i="49"/>
  <c r="N9" i="49" s="1"/>
  <c r="D10" i="31"/>
  <c r="D10" i="48"/>
  <c r="D10" i="20"/>
  <c r="D10" i="32"/>
  <c r="D10" i="49"/>
  <c r="D10" i="25"/>
  <c r="D10" i="29"/>
  <c r="D10" i="33"/>
  <c r="D10" i="46"/>
  <c r="D10" i="50"/>
  <c r="D10" i="26"/>
  <c r="D10" i="30"/>
  <c r="D10" i="43"/>
  <c r="D10" i="47"/>
  <c r="D10" i="51"/>
  <c r="D10" i="27"/>
  <c r="D10" i="44"/>
  <c r="D10" i="28"/>
  <c r="D10" i="45"/>
  <c r="AF23" i="1"/>
  <c r="AS36" i="26" s="1"/>
  <c r="G17" i="5"/>
  <c r="P19" i="5"/>
  <c r="G19" i="5"/>
  <c r="X12" i="5"/>
  <c r="G12" i="5"/>
  <c r="T12" i="5"/>
  <c r="P12" i="5"/>
  <c r="G21" i="5"/>
  <c r="F7" i="5"/>
  <c r="J16" i="5"/>
  <c r="W16" i="5"/>
  <c r="O16" i="5"/>
  <c r="F16" i="5"/>
  <c r="Q16" i="5"/>
  <c r="H16" i="5"/>
  <c r="D18" i="48"/>
  <c r="D18" i="46"/>
  <c r="AF22" i="1"/>
  <c r="AS34" i="25" s="1"/>
  <c r="AF21" i="1"/>
  <c r="AS33" i="20" s="1"/>
  <c r="AC9" i="5"/>
  <c r="V9" i="5"/>
  <c r="R9" i="5"/>
  <c r="X9" i="5"/>
  <c r="T9" i="5"/>
  <c r="P9" i="5"/>
  <c r="G9" i="5"/>
  <c r="AA9" i="5"/>
  <c r="Q9" i="5"/>
  <c r="J9" i="5"/>
  <c r="W9" i="5"/>
  <c r="O9" i="5"/>
  <c r="I9" i="5"/>
  <c r="U9" i="5"/>
  <c r="N9" i="5"/>
  <c r="H9" i="5"/>
  <c r="S9" i="5"/>
  <c r="M9" i="5"/>
  <c r="F9" i="5"/>
  <c r="AC5" i="5"/>
  <c r="V5" i="5"/>
  <c r="R5" i="5"/>
  <c r="N5" i="5"/>
  <c r="AA5" i="5"/>
  <c r="Q5" i="5"/>
  <c r="H5" i="5"/>
  <c r="X5" i="5"/>
  <c r="T5" i="5"/>
  <c r="P5" i="5"/>
  <c r="G5" i="5"/>
  <c r="W5" i="5"/>
  <c r="S5" i="5"/>
  <c r="O5" i="5"/>
  <c r="J5" i="5"/>
  <c r="F5" i="5"/>
  <c r="I5" i="5"/>
  <c r="U5" i="5"/>
  <c r="M5" i="5"/>
  <c r="S4" i="5"/>
  <c r="J4" i="5"/>
  <c r="V4" i="5"/>
  <c r="I4" i="5"/>
  <c r="U4" i="5"/>
  <c r="M4" i="5"/>
  <c r="AC4" i="5"/>
  <c r="R4" i="5"/>
  <c r="N4" i="5"/>
  <c r="AA4" i="5"/>
  <c r="Q4" i="5"/>
  <c r="H4" i="5"/>
  <c r="X4" i="5"/>
  <c r="T4" i="5"/>
  <c r="P4" i="5"/>
  <c r="G4" i="5"/>
  <c r="W4" i="5"/>
  <c r="O4" i="5"/>
  <c r="F4" i="5"/>
  <c r="AA6" i="5"/>
  <c r="U6" i="5"/>
  <c r="Q6" i="5"/>
  <c r="M6" i="5"/>
  <c r="H6" i="5"/>
  <c r="X6" i="5"/>
  <c r="T6" i="5"/>
  <c r="P6" i="5"/>
  <c r="G6" i="5"/>
  <c r="W6" i="5"/>
  <c r="S6" i="5"/>
  <c r="O6" i="5"/>
  <c r="J6" i="5"/>
  <c r="F6" i="5"/>
  <c r="AC6" i="5"/>
  <c r="V6" i="5"/>
  <c r="R6" i="5"/>
  <c r="N6" i="5"/>
  <c r="I6" i="5"/>
  <c r="H7" i="5"/>
  <c r="M7" i="5"/>
  <c r="Q7" i="5"/>
  <c r="U7" i="5"/>
  <c r="AA7" i="5"/>
  <c r="G8" i="5"/>
  <c r="P8" i="5"/>
  <c r="T8" i="5"/>
  <c r="AC8" i="5"/>
  <c r="AC10" i="5"/>
  <c r="V10" i="5"/>
  <c r="R10" i="5"/>
  <c r="N10" i="5"/>
  <c r="I10" i="5"/>
  <c r="AA10" i="5"/>
  <c r="U10" i="5"/>
  <c r="Q10" i="5"/>
  <c r="M10" i="5"/>
  <c r="H10" i="5"/>
  <c r="X10" i="5"/>
  <c r="T10" i="5"/>
  <c r="P10" i="5"/>
  <c r="G10" i="5"/>
  <c r="W10" i="5"/>
  <c r="S10" i="5"/>
  <c r="O10" i="5"/>
  <c r="J10" i="5"/>
  <c r="F10" i="5"/>
  <c r="I7" i="5"/>
  <c r="N7" i="5"/>
  <c r="R7" i="5"/>
  <c r="V7" i="5"/>
  <c r="AC7" i="5"/>
  <c r="H8" i="5"/>
  <c r="M8" i="5"/>
  <c r="Q8" i="5"/>
  <c r="W13" i="5"/>
  <c r="S13" i="5"/>
  <c r="O13" i="5"/>
  <c r="J13" i="5"/>
  <c r="F13" i="5"/>
  <c r="AC13" i="5"/>
  <c r="V13" i="5"/>
  <c r="R13" i="5"/>
  <c r="N13" i="5"/>
  <c r="I13" i="5"/>
  <c r="AA13" i="5"/>
  <c r="U13" i="5"/>
  <c r="Q13" i="5"/>
  <c r="M13" i="5"/>
  <c r="H13" i="5"/>
  <c r="X13" i="5"/>
  <c r="T13" i="5"/>
  <c r="P13" i="5"/>
  <c r="G13" i="5"/>
  <c r="J7" i="5"/>
  <c r="O7" i="5"/>
  <c r="S7" i="5"/>
  <c r="W7" i="5"/>
  <c r="AA8" i="5"/>
  <c r="U8" i="5"/>
  <c r="I8" i="5"/>
  <c r="N8" i="5"/>
  <c r="R8" i="5"/>
  <c r="W8" i="5"/>
  <c r="AA11" i="5"/>
  <c r="U11" i="5"/>
  <c r="Q11" i="5"/>
  <c r="M11" i="5"/>
  <c r="H11" i="5"/>
  <c r="X11" i="5"/>
  <c r="T11" i="5"/>
  <c r="P11" i="5"/>
  <c r="G11" i="5"/>
  <c r="W11" i="5"/>
  <c r="S11" i="5"/>
  <c r="O11" i="5"/>
  <c r="J11" i="5"/>
  <c r="F11" i="5"/>
  <c r="AC11" i="5"/>
  <c r="V11" i="5"/>
  <c r="R11" i="5"/>
  <c r="N11" i="5"/>
  <c r="I11" i="5"/>
  <c r="G7" i="5"/>
  <c r="P7" i="5"/>
  <c r="T7" i="5"/>
  <c r="X7" i="5"/>
  <c r="F8" i="5"/>
  <c r="J8" i="5"/>
  <c r="O8" i="5"/>
  <c r="S8" i="5"/>
  <c r="X8" i="5"/>
  <c r="W15" i="5"/>
  <c r="S15" i="5"/>
  <c r="O15" i="5"/>
  <c r="J15" i="5"/>
  <c r="AA15" i="5"/>
  <c r="T15" i="5"/>
  <c r="N15" i="5"/>
  <c r="H15" i="5"/>
  <c r="X15" i="5"/>
  <c r="R15" i="5"/>
  <c r="M15" i="5"/>
  <c r="G15" i="5"/>
  <c r="V15" i="5"/>
  <c r="Q15" i="5"/>
  <c r="F15" i="5"/>
  <c r="AC15" i="5"/>
  <c r="U15" i="5"/>
  <c r="P15" i="5"/>
  <c r="I15" i="5"/>
  <c r="H12" i="5"/>
  <c r="M12" i="5"/>
  <c r="Q12" i="5"/>
  <c r="U12" i="5"/>
  <c r="AA12" i="5"/>
  <c r="F14" i="5"/>
  <c r="J14" i="5"/>
  <c r="O14" i="5"/>
  <c r="S14" i="5"/>
  <c r="W14" i="5"/>
  <c r="AC16" i="5"/>
  <c r="V16" i="5"/>
  <c r="R16" i="5"/>
  <c r="N16" i="5"/>
  <c r="I16" i="5"/>
  <c r="X16" i="5"/>
  <c r="T16" i="5"/>
  <c r="P16" i="5"/>
  <c r="G16" i="5"/>
  <c r="M16" i="5"/>
  <c r="U16" i="5"/>
  <c r="X18" i="5"/>
  <c r="T18" i="5"/>
  <c r="P18" i="5"/>
  <c r="G18" i="5"/>
  <c r="W18" i="5"/>
  <c r="S18" i="5"/>
  <c r="O18" i="5"/>
  <c r="J18" i="5"/>
  <c r="F18" i="5"/>
  <c r="AC18" i="5"/>
  <c r="V18" i="5"/>
  <c r="R18" i="5"/>
  <c r="N18" i="5"/>
  <c r="I18" i="5"/>
  <c r="AA18" i="5"/>
  <c r="U18" i="5"/>
  <c r="Q18" i="5"/>
  <c r="M18" i="5"/>
  <c r="H18" i="5"/>
  <c r="I12" i="5"/>
  <c r="N12" i="5"/>
  <c r="R12" i="5"/>
  <c r="V12" i="5"/>
  <c r="AC12" i="5"/>
  <c r="G14" i="5"/>
  <c r="P14" i="5"/>
  <c r="T14" i="5"/>
  <c r="X14" i="5"/>
  <c r="AC20" i="5"/>
  <c r="V20" i="5"/>
  <c r="R20" i="5"/>
  <c r="N20" i="5"/>
  <c r="I20" i="5"/>
  <c r="AA20" i="5"/>
  <c r="U20" i="5"/>
  <c r="Q20" i="5"/>
  <c r="M20" i="5"/>
  <c r="H20" i="5"/>
  <c r="X20" i="5"/>
  <c r="T20" i="5"/>
  <c r="P20" i="5"/>
  <c r="G20" i="5"/>
  <c r="W20" i="5"/>
  <c r="S20" i="5"/>
  <c r="O20" i="5"/>
  <c r="J20" i="5"/>
  <c r="F20" i="5"/>
  <c r="X22" i="5"/>
  <c r="T22" i="5"/>
  <c r="P22" i="5"/>
  <c r="G22" i="5"/>
  <c r="W22" i="5"/>
  <c r="S22" i="5"/>
  <c r="O22" i="5"/>
  <c r="J22" i="5"/>
  <c r="F22" i="5"/>
  <c r="AC22" i="5"/>
  <c r="V22" i="5"/>
  <c r="R22" i="5"/>
  <c r="N22" i="5"/>
  <c r="I22" i="5"/>
  <c r="AA22" i="5"/>
  <c r="U22" i="5"/>
  <c r="Q22" i="5"/>
  <c r="M22" i="5"/>
  <c r="H22" i="5"/>
  <c r="F12" i="5"/>
  <c r="J12" i="5"/>
  <c r="O12" i="5"/>
  <c r="S12" i="5"/>
  <c r="W12" i="5"/>
  <c r="H14" i="5"/>
  <c r="M14" i="5"/>
  <c r="Q14" i="5"/>
  <c r="U14" i="5"/>
  <c r="AA14" i="5"/>
  <c r="AA16" i="5"/>
  <c r="I14" i="5"/>
  <c r="N14" i="5"/>
  <c r="R14" i="5"/>
  <c r="V14" i="5"/>
  <c r="AC14" i="5"/>
  <c r="I17" i="5"/>
  <c r="N17" i="5"/>
  <c r="R17" i="5"/>
  <c r="V17" i="5"/>
  <c r="AC17" i="5"/>
  <c r="T19" i="5"/>
  <c r="X19" i="5"/>
  <c r="I21" i="5"/>
  <c r="N21" i="5"/>
  <c r="R21" i="5"/>
  <c r="V21" i="5"/>
  <c r="AC21" i="5"/>
  <c r="F17" i="5"/>
  <c r="J17" i="5"/>
  <c r="O17" i="5"/>
  <c r="S17" i="5"/>
  <c r="W17" i="5"/>
  <c r="H19" i="5"/>
  <c r="M19" i="5"/>
  <c r="Q19" i="5"/>
  <c r="U19" i="5"/>
  <c r="AA19" i="5"/>
  <c r="F21" i="5"/>
  <c r="J21" i="5"/>
  <c r="O21" i="5"/>
  <c r="S21" i="5"/>
  <c r="W21" i="5"/>
  <c r="P17" i="5"/>
  <c r="T17" i="5"/>
  <c r="X17" i="5"/>
  <c r="I19" i="5"/>
  <c r="N19" i="5"/>
  <c r="R19" i="5"/>
  <c r="V19" i="5"/>
  <c r="AC19" i="5"/>
  <c r="P21" i="5"/>
  <c r="T21" i="5"/>
  <c r="X21" i="5"/>
  <c r="H17" i="5"/>
  <c r="M17" i="5"/>
  <c r="Q17" i="5"/>
  <c r="U17" i="5"/>
  <c r="AA17" i="5"/>
  <c r="F19" i="5"/>
  <c r="J19" i="5"/>
  <c r="O19" i="5"/>
  <c r="S19" i="5"/>
  <c r="W19" i="5"/>
  <c r="H21" i="5"/>
  <c r="M21" i="5"/>
  <c r="Q21" i="5"/>
  <c r="U21" i="5"/>
  <c r="AA21" i="5"/>
  <c r="AE21" i="1"/>
  <c r="L23" i="1"/>
  <c r="L21" i="1"/>
  <c r="AE23" i="1"/>
  <c r="AE39" i="1"/>
  <c r="AE22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D6" i="25"/>
  <c r="AA3" i="27"/>
  <c r="D6" i="29"/>
  <c r="AA3" i="31"/>
  <c r="D6" i="33"/>
  <c r="AA3" i="44"/>
  <c r="D6" i="46"/>
  <c r="AA3" i="48"/>
  <c r="D6" i="50"/>
  <c r="D6" i="20"/>
  <c r="AA3" i="26"/>
  <c r="D6" i="28"/>
  <c r="AA3" i="30"/>
  <c r="D6" i="32"/>
  <c r="AA3" i="43"/>
  <c r="D6" i="45"/>
  <c r="AA3" i="47"/>
  <c r="D6" i="49"/>
  <c r="AA3" i="51"/>
  <c r="L22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A3" i="25"/>
  <c r="D6" i="27"/>
  <c r="AA3" i="29"/>
  <c r="D6" i="31"/>
  <c r="AA3" i="33"/>
  <c r="D6" i="44"/>
  <c r="AA3" i="46"/>
  <c r="D6" i="48"/>
  <c r="AA3" i="50"/>
  <c r="AA3" i="20"/>
  <c r="D6" i="26"/>
  <c r="AA3" i="28"/>
  <c r="D6" i="30"/>
  <c r="AA3" i="32"/>
  <c r="D6" i="43"/>
  <c r="AA3" i="45"/>
  <c r="D6" i="47"/>
  <c r="AA3" i="49"/>
  <c r="D6" i="51"/>
  <c r="X3" i="5"/>
  <c r="T3" i="5"/>
  <c r="P3" i="5"/>
  <c r="G3" i="5"/>
  <c r="S3" i="5"/>
  <c r="O3" i="5"/>
  <c r="F3" i="5"/>
  <c r="I3" i="5"/>
  <c r="Q3" i="5"/>
  <c r="W3" i="5"/>
  <c r="J3" i="5"/>
  <c r="AC3" i="5"/>
  <c r="V3" i="5"/>
  <c r="R3" i="5"/>
  <c r="N3" i="5"/>
  <c r="M3" i="5"/>
  <c r="AA3" i="5"/>
  <c r="U3" i="5"/>
  <c r="H3" i="5"/>
  <c r="L20" i="1"/>
  <c r="AE20" i="1"/>
  <c r="D18" i="32"/>
  <c r="D18" i="30"/>
  <c r="D18" i="20"/>
  <c r="D18" i="28"/>
  <c r="D18" i="45"/>
  <c r="D18" i="26"/>
  <c r="D18" i="33"/>
  <c r="D18" i="43"/>
  <c r="AG18" i="50"/>
  <c r="AO18" i="50" s="1"/>
  <c r="AG18" i="47"/>
  <c r="AO18" i="47" s="1"/>
  <c r="AG18" i="51"/>
  <c r="AO18" i="51" s="1"/>
  <c r="AG18" i="48"/>
  <c r="AO18" i="48" s="1"/>
  <c r="AG18" i="49"/>
  <c r="AO18" i="49" s="1"/>
  <c r="AG18" i="45"/>
  <c r="AO18" i="45" s="1"/>
  <c r="AG18" i="46"/>
  <c r="AO18" i="46" s="1"/>
  <c r="AG18" i="44"/>
  <c r="AO18" i="44" s="1"/>
  <c r="AG18" i="33"/>
  <c r="AO18" i="33" s="1"/>
  <c r="AG18" i="31"/>
  <c r="AO18" i="31" s="1"/>
  <c r="AG18" i="30"/>
  <c r="AO18" i="30" s="1"/>
  <c r="AG18" i="28"/>
  <c r="AO18" i="28" s="1"/>
  <c r="AG18" i="32"/>
  <c r="AO18" i="32" s="1"/>
  <c r="AG18" i="43"/>
  <c r="AO18" i="43" s="1"/>
  <c r="AG18" i="29"/>
  <c r="AO18" i="29" s="1"/>
  <c r="AG18" i="27"/>
  <c r="AO18" i="27" s="1"/>
  <c r="AG18" i="25"/>
  <c r="AO18" i="25" s="1"/>
  <c r="AG18" i="26"/>
  <c r="AO18" i="26" s="1"/>
  <c r="AG18" i="20"/>
  <c r="AO18" i="20" s="1"/>
  <c r="K9" i="51"/>
  <c r="G9" i="51" s="1"/>
  <c r="K9" i="48"/>
  <c r="G9" i="48" s="1"/>
  <c r="K9" i="49"/>
  <c r="G9" i="49" s="1"/>
  <c r="K9" i="46"/>
  <c r="G9" i="46" s="1"/>
  <c r="K9" i="50"/>
  <c r="G9" i="50" s="1"/>
  <c r="K9" i="47"/>
  <c r="G9" i="47" s="1"/>
  <c r="K9" i="45"/>
  <c r="G9" i="45" s="1"/>
  <c r="K9" i="43"/>
  <c r="G9" i="43" s="1"/>
  <c r="K9" i="32"/>
  <c r="G9" i="32" s="1"/>
  <c r="K9" i="33"/>
  <c r="G9" i="33" s="1"/>
  <c r="K9" i="44"/>
  <c r="G9" i="44" s="1"/>
  <c r="K9" i="29"/>
  <c r="G9" i="29" s="1"/>
  <c r="K9" i="31"/>
  <c r="G9" i="31" s="1"/>
  <c r="K9" i="30"/>
  <c r="G9" i="30" s="1"/>
  <c r="K9" i="28"/>
  <c r="G9" i="28" s="1"/>
  <c r="K9" i="26"/>
  <c r="G9" i="26" s="1"/>
  <c r="K9" i="20"/>
  <c r="G9" i="20" s="1"/>
  <c r="K9" i="25"/>
  <c r="G9" i="25" s="1"/>
  <c r="K9" i="27"/>
  <c r="G9" i="27" s="1"/>
  <c r="AS35" i="27"/>
  <c r="AS33" i="27"/>
  <c r="AS31" i="27"/>
  <c r="AS29" i="27"/>
  <c r="AS27" i="27"/>
  <c r="AS25" i="27"/>
  <c r="AS23" i="27"/>
  <c r="AS21" i="27"/>
  <c r="AS19" i="27"/>
  <c r="AS36" i="27"/>
  <c r="AS34" i="27"/>
  <c r="AS32" i="27"/>
  <c r="AS30" i="27"/>
  <c r="AS28" i="27"/>
  <c r="AS26" i="27"/>
  <c r="AS24" i="27"/>
  <c r="AS22" i="27"/>
  <c r="AS35" i="31"/>
  <c r="AS30" i="31"/>
  <c r="AS27" i="31"/>
  <c r="AS22" i="31"/>
  <c r="AS19" i="31"/>
  <c r="AS32" i="31"/>
  <c r="AS29" i="31"/>
  <c r="AS24" i="31"/>
  <c r="AS21" i="31"/>
  <c r="AS34" i="31"/>
  <c r="AS31" i="31"/>
  <c r="AS26" i="31"/>
  <c r="AS23" i="31"/>
  <c r="AS36" i="31"/>
  <c r="AS33" i="31"/>
  <c r="AS28" i="31"/>
  <c r="AS25" i="31"/>
  <c r="AS20" i="31"/>
  <c r="AS35" i="44"/>
  <c r="AS33" i="44"/>
  <c r="AS31" i="44"/>
  <c r="AS29" i="44"/>
  <c r="AS27" i="44"/>
  <c r="AS25" i="44"/>
  <c r="AS23" i="44"/>
  <c r="AS21" i="44"/>
  <c r="AS19" i="44"/>
  <c r="AS30" i="44"/>
  <c r="AS36" i="44"/>
  <c r="AS28" i="44"/>
  <c r="AS22" i="44"/>
  <c r="AS34" i="44"/>
  <c r="AS26" i="44"/>
  <c r="AS32" i="44"/>
  <c r="AS24" i="44"/>
  <c r="AS20" i="44"/>
  <c r="AS36" i="48"/>
  <c r="AS34" i="48"/>
  <c r="AS32" i="48"/>
  <c r="AS30" i="48"/>
  <c r="AS28" i="48"/>
  <c r="AS26" i="48"/>
  <c r="AS24" i="48"/>
  <c r="AS22" i="48"/>
  <c r="AS20" i="48"/>
  <c r="AS35" i="48"/>
  <c r="AS33" i="48"/>
  <c r="AS31" i="48"/>
  <c r="AS29" i="48"/>
  <c r="AS27" i="48"/>
  <c r="AS25" i="48"/>
  <c r="AS23" i="48"/>
  <c r="AS21" i="48"/>
  <c r="AS19" i="48"/>
  <c r="D18" i="25"/>
  <c r="AS36" i="28"/>
  <c r="AS34" i="28"/>
  <c r="AS32" i="28"/>
  <c r="AS30" i="28"/>
  <c r="AS28" i="28"/>
  <c r="AS26" i="28"/>
  <c r="AS24" i="28"/>
  <c r="AS22" i="28"/>
  <c r="AS20" i="28"/>
  <c r="AS35" i="28"/>
  <c r="AS33" i="28"/>
  <c r="AS31" i="28"/>
  <c r="AS29" i="28"/>
  <c r="AS27" i="28"/>
  <c r="AS25" i="28"/>
  <c r="AS23" i="28"/>
  <c r="AS21" i="28"/>
  <c r="AS19" i="28"/>
  <c r="AS35" i="32"/>
  <c r="AS32" i="32"/>
  <c r="AS27" i="32"/>
  <c r="AS24" i="32"/>
  <c r="AS19" i="32"/>
  <c r="AS34" i="32"/>
  <c r="AS29" i="32"/>
  <c r="AS26" i="32"/>
  <c r="AS21" i="32"/>
  <c r="AS36" i="32"/>
  <c r="AS31" i="32"/>
  <c r="AS28" i="32"/>
  <c r="AS23" i="32"/>
  <c r="AS20" i="32"/>
  <c r="AS33" i="32"/>
  <c r="AS30" i="32"/>
  <c r="AS25" i="32"/>
  <c r="AS22" i="32"/>
  <c r="AS34" i="45"/>
  <c r="AS31" i="45"/>
  <c r="AS26" i="45"/>
  <c r="AS23" i="45"/>
  <c r="AS36" i="45"/>
  <c r="AS33" i="45"/>
  <c r="AS28" i="45"/>
  <c r="AS25" i="45"/>
  <c r="AS20" i="45"/>
  <c r="AS35" i="45"/>
  <c r="AS30" i="45"/>
  <c r="AS27" i="45"/>
  <c r="AS22" i="45"/>
  <c r="AS19" i="45"/>
  <c r="AS32" i="45"/>
  <c r="AS29" i="45"/>
  <c r="AS24" i="45"/>
  <c r="AS21" i="45"/>
  <c r="AS35" i="49"/>
  <c r="AS33" i="49"/>
  <c r="AS31" i="49"/>
  <c r="AS29" i="49"/>
  <c r="AS27" i="49"/>
  <c r="AS25" i="49"/>
  <c r="AS23" i="49"/>
  <c r="AS21" i="49"/>
  <c r="AS19" i="49"/>
  <c r="AS36" i="49"/>
  <c r="AS34" i="49"/>
  <c r="AS32" i="49"/>
  <c r="AS30" i="49"/>
  <c r="AS28" i="49"/>
  <c r="AS26" i="49"/>
  <c r="AS24" i="49"/>
  <c r="AS22" i="49"/>
  <c r="AS20" i="49"/>
  <c r="D9" i="49"/>
  <c r="A9" i="49" s="1"/>
  <c r="D9" i="50"/>
  <c r="A9" i="50" s="1"/>
  <c r="D9" i="47"/>
  <c r="A9" i="47" s="1"/>
  <c r="D9" i="51"/>
  <c r="A9" i="51" s="1"/>
  <c r="D9" i="48"/>
  <c r="A9" i="48" s="1"/>
  <c r="D9" i="46"/>
  <c r="A9" i="46" s="1"/>
  <c r="D9" i="45"/>
  <c r="A9" i="45" s="1"/>
  <c r="D9" i="44"/>
  <c r="A9" i="44" s="1"/>
  <c r="D9" i="33"/>
  <c r="A9" i="33" s="1"/>
  <c r="D9" i="31"/>
  <c r="A9" i="31" s="1"/>
  <c r="D9" i="43"/>
  <c r="A9" i="43" s="1"/>
  <c r="D9" i="30"/>
  <c r="A9" i="30" s="1"/>
  <c r="D9" i="28"/>
  <c r="A9" i="28" s="1"/>
  <c r="D9" i="32"/>
  <c r="A9" i="32" s="1"/>
  <c r="D9" i="29"/>
  <c r="A9" i="29" s="1"/>
  <c r="D9" i="27"/>
  <c r="A9" i="27" s="1"/>
  <c r="D9" i="25"/>
  <c r="A9" i="25" s="1"/>
  <c r="L17" i="1"/>
  <c r="L18" i="1"/>
  <c r="AS36" i="33"/>
  <c r="AS33" i="33"/>
  <c r="AS28" i="33"/>
  <c r="AS25" i="33"/>
  <c r="AS20" i="33"/>
  <c r="AS35" i="33"/>
  <c r="AS30" i="33"/>
  <c r="AS27" i="33"/>
  <c r="AS22" i="33"/>
  <c r="AS19" i="33"/>
  <c r="AS32" i="33"/>
  <c r="AS29" i="33"/>
  <c r="AS24" i="33"/>
  <c r="AS21" i="33"/>
  <c r="AS34" i="33"/>
  <c r="AS31" i="33"/>
  <c r="AS26" i="33"/>
  <c r="AS23" i="33"/>
  <c r="AS36" i="46"/>
  <c r="AS34" i="46"/>
  <c r="AS32" i="46"/>
  <c r="AS30" i="46"/>
  <c r="AS28" i="46"/>
  <c r="AS26" i="46"/>
  <c r="AS24" i="46"/>
  <c r="AS22" i="46"/>
  <c r="AS20" i="46"/>
  <c r="AS33" i="46"/>
  <c r="AS29" i="46"/>
  <c r="AS25" i="46"/>
  <c r="AS21" i="46"/>
  <c r="AS35" i="46"/>
  <c r="AS31" i="46"/>
  <c r="AS27" i="46"/>
  <c r="AS23" i="46"/>
  <c r="AS19" i="46"/>
  <c r="AS35" i="50"/>
  <c r="AS33" i="50"/>
  <c r="AS31" i="50"/>
  <c r="AS29" i="50"/>
  <c r="AS27" i="50"/>
  <c r="AS25" i="50"/>
  <c r="AS23" i="50"/>
  <c r="AS21" i="50"/>
  <c r="AS19" i="50"/>
  <c r="AS36" i="50"/>
  <c r="AS34" i="50"/>
  <c r="AS32" i="50"/>
  <c r="AS30" i="50"/>
  <c r="AS28" i="50"/>
  <c r="AS26" i="50"/>
  <c r="AS24" i="50"/>
  <c r="AS22" i="50"/>
  <c r="AS20" i="50"/>
  <c r="D9" i="26"/>
  <c r="A9" i="26" s="1"/>
  <c r="D18" i="27"/>
  <c r="AS20" i="27"/>
  <c r="AS34" i="30"/>
  <c r="AS32" i="30"/>
  <c r="AS30" i="30"/>
  <c r="AS28" i="30"/>
  <c r="AS26" i="30"/>
  <c r="AS24" i="30"/>
  <c r="AS22" i="30"/>
  <c r="AS20" i="30"/>
  <c r="AS36" i="30"/>
  <c r="AS33" i="30"/>
  <c r="AS31" i="30"/>
  <c r="AS29" i="30"/>
  <c r="AS27" i="30"/>
  <c r="AS25" i="30"/>
  <c r="AS23" i="30"/>
  <c r="AS21" i="30"/>
  <c r="AS19" i="30"/>
  <c r="AS35" i="30"/>
  <c r="AS33" i="43"/>
  <c r="AS30" i="43"/>
  <c r="AS25" i="43"/>
  <c r="AS22" i="43"/>
  <c r="AS35" i="43"/>
  <c r="AS32" i="43"/>
  <c r="AS27" i="43"/>
  <c r="AS24" i="43"/>
  <c r="AS19" i="43"/>
  <c r="AS34" i="43"/>
  <c r="AS29" i="43"/>
  <c r="AS26" i="43"/>
  <c r="AS21" i="43"/>
  <c r="AS36" i="43"/>
  <c r="AS31" i="43"/>
  <c r="AS28" i="43"/>
  <c r="AS23" i="43"/>
  <c r="AS20" i="43"/>
  <c r="AS35" i="47"/>
  <c r="AS33" i="47"/>
  <c r="AS31" i="47"/>
  <c r="AS29" i="47"/>
  <c r="AS27" i="47"/>
  <c r="AS25" i="47"/>
  <c r="AS23" i="47"/>
  <c r="AS21" i="47"/>
  <c r="AS19" i="47"/>
  <c r="AS34" i="47"/>
  <c r="AS26" i="47"/>
  <c r="AS32" i="47"/>
  <c r="AS24" i="47"/>
  <c r="AS30" i="47"/>
  <c r="AS22" i="47"/>
  <c r="AS36" i="47"/>
  <c r="AS28" i="47"/>
  <c r="AS20" i="47"/>
  <c r="AS36" i="51"/>
  <c r="AS34" i="51"/>
  <c r="AS32" i="51"/>
  <c r="AS30" i="51"/>
  <c r="AS28" i="51"/>
  <c r="AS26" i="51"/>
  <c r="AS24" i="51"/>
  <c r="AS22" i="51"/>
  <c r="AS20" i="51"/>
  <c r="AS35" i="51"/>
  <c r="AS33" i="51"/>
  <c r="AS31" i="51"/>
  <c r="AS29" i="51"/>
  <c r="AS27" i="51"/>
  <c r="AS25" i="51"/>
  <c r="AS23" i="51"/>
  <c r="AS21" i="51"/>
  <c r="AS19" i="51"/>
  <c r="D9" i="20"/>
  <c r="A9" i="20" s="1"/>
  <c r="D18" i="44"/>
  <c r="D18" i="29"/>
  <c r="D18" i="31"/>
  <c r="D18" i="47"/>
  <c r="D18" i="50"/>
  <c r="D18" i="49"/>
  <c r="D18" i="51"/>
  <c r="O28" i="1" l="1"/>
  <c r="O23" i="1"/>
  <c r="O36" i="1"/>
  <c r="O29" i="1"/>
  <c r="O25" i="1"/>
  <c r="O30" i="1"/>
  <c r="O27" i="1"/>
  <c r="O26" i="1"/>
  <c r="O33" i="1"/>
  <c r="AS28" i="29"/>
  <c r="O34" i="1"/>
  <c r="O37" i="1"/>
  <c r="O32" i="1"/>
  <c r="AS33" i="29"/>
  <c r="O38" i="1"/>
  <c r="O35" i="1"/>
  <c r="O31" i="1"/>
  <c r="O24" i="1"/>
  <c r="O39" i="1"/>
  <c r="O22" i="1"/>
  <c r="O21" i="1"/>
  <c r="O20" i="1"/>
  <c r="BA22" i="5" a="1"/>
  <c r="BA22" i="5" s="1"/>
  <c r="AZ22" i="5" a="1"/>
  <c r="AZ22" i="5" s="1"/>
  <c r="AY22" i="5" a="1"/>
  <c r="AY22" i="5" s="1"/>
  <c r="AZ19" i="5" a="1"/>
  <c r="AZ19" i="5" s="1"/>
  <c r="BA19" i="5" a="1"/>
  <c r="BA19" i="5" s="1"/>
  <c r="AY19" i="5" a="1"/>
  <c r="AY19" i="5" s="1"/>
  <c r="BA20" i="5" a="1"/>
  <c r="BA20" i="5" s="1"/>
  <c r="AY20" i="5" a="1"/>
  <c r="AY20" i="5" s="1"/>
  <c r="AZ20" i="5" a="1"/>
  <c r="AZ20" i="5" s="1"/>
  <c r="BA21" i="5" a="1"/>
  <c r="BA21" i="5" s="1"/>
  <c r="AY21" i="5" a="1"/>
  <c r="AY21" i="5" s="1"/>
  <c r="AZ21" i="5" a="1"/>
  <c r="AZ21" i="5" s="1"/>
  <c r="AZ17" i="5" a="1"/>
  <c r="AZ17" i="5" s="1"/>
  <c r="AY17" i="5" a="1"/>
  <c r="AY17" i="5" s="1"/>
  <c r="BA17" i="5" a="1"/>
  <c r="BA17" i="5" s="1"/>
  <c r="BA18" i="5" a="1"/>
  <c r="BA18" i="5" s="1"/>
  <c r="AZ18" i="5" a="1"/>
  <c r="AZ18" i="5" s="1"/>
  <c r="AY18" i="5" a="1"/>
  <c r="AY18" i="5" s="1"/>
  <c r="BA16" i="5" a="1"/>
  <c r="BA16" i="5" s="1"/>
  <c r="AZ16" i="5" a="1"/>
  <c r="AZ16" i="5" s="1"/>
  <c r="AY16" i="5" a="1"/>
  <c r="AY16" i="5" s="1"/>
  <c r="BA15" i="5" a="1"/>
  <c r="BA15" i="5" s="1"/>
  <c r="AZ15" i="5" a="1"/>
  <c r="AZ15" i="5" s="1"/>
  <c r="AY15" i="5" a="1"/>
  <c r="AY15" i="5" s="1"/>
  <c r="BA14" i="5" a="1"/>
  <c r="BA14" i="5" s="1"/>
  <c r="AY14" i="5" a="1"/>
  <c r="AY14" i="5" s="1"/>
  <c r="AZ14" i="5" a="1"/>
  <c r="AZ14" i="5" s="1"/>
  <c r="AZ13" i="5" a="1"/>
  <c r="AZ13" i="5" s="1"/>
  <c r="BA13" i="5" a="1"/>
  <c r="BA13" i="5" s="1"/>
  <c r="AY13" i="5" a="1"/>
  <c r="AY13" i="5" s="1"/>
  <c r="AZ11" i="5" a="1"/>
  <c r="AZ11" i="5" s="1"/>
  <c r="AY11" i="5" a="1"/>
  <c r="AY11" i="5" s="1"/>
  <c r="BA11" i="5" a="1"/>
  <c r="BA11" i="5" s="1"/>
  <c r="BA10" i="5" a="1"/>
  <c r="BA10" i="5" s="1"/>
  <c r="AZ10" i="5" a="1"/>
  <c r="AZ10" i="5" s="1"/>
  <c r="AY10" i="5" a="1"/>
  <c r="AY10" i="5" s="1"/>
  <c r="BA12" i="5" a="1"/>
  <c r="BA12" i="5" s="1"/>
  <c r="AZ12" i="5" a="1"/>
  <c r="AZ12" i="5" s="1"/>
  <c r="AY12" i="5" a="1"/>
  <c r="AY12" i="5" s="1"/>
  <c r="BA9" i="5" a="1"/>
  <c r="BA9" i="5" s="1"/>
  <c r="AZ9" i="5" a="1"/>
  <c r="AZ9" i="5" s="1"/>
  <c r="AY9" i="5" a="1"/>
  <c r="AY9" i="5" s="1"/>
  <c r="BA8" i="5" a="1"/>
  <c r="BA8" i="5" s="1"/>
  <c r="AY8" i="5" a="1"/>
  <c r="AY8" i="5" s="1"/>
  <c r="AZ8" i="5" a="1"/>
  <c r="AZ8" i="5" s="1"/>
  <c r="BA7" i="5" a="1"/>
  <c r="BA7" i="5" s="1"/>
  <c r="AY7" i="5" a="1"/>
  <c r="AY7" i="5" s="1"/>
  <c r="AZ7" i="5" a="1"/>
  <c r="AZ7" i="5" s="1"/>
  <c r="AY6" i="5" a="1"/>
  <c r="AY6" i="5" s="1"/>
  <c r="AZ6" i="5" a="1"/>
  <c r="AZ6" i="5" s="1"/>
  <c r="BA6" i="5" a="1"/>
  <c r="BA6" i="5" s="1"/>
  <c r="BA5" i="5" a="1"/>
  <c r="BA5" i="5" s="1"/>
  <c r="AZ5" i="5" a="1"/>
  <c r="AZ5" i="5" s="1"/>
  <c r="AY5" i="5" a="1"/>
  <c r="AY5" i="5" s="1"/>
  <c r="BA4" i="5" a="1"/>
  <c r="BA4" i="5" s="1"/>
  <c r="AZ4" i="5" a="1"/>
  <c r="AZ4" i="5" s="1"/>
  <c r="AY4" i="5" a="1"/>
  <c r="AY4" i="5" s="1"/>
  <c r="BA3" i="5" a="1"/>
  <c r="BA3" i="5" s="1"/>
  <c r="AZ3" i="5" a="1"/>
  <c r="AZ3" i="5" s="1"/>
  <c r="AH3" i="5" a="1"/>
  <c r="AH3" i="5" s="1"/>
  <c r="AY3" i="5" a="1"/>
  <c r="AY3" i="5" s="1"/>
  <c r="AG3" i="5" a="1"/>
  <c r="AG3" i="5" s="1"/>
  <c r="AL3" i="5" a="1"/>
  <c r="AL3" i="5" s="1"/>
  <c r="AF3" i="5" a="1"/>
  <c r="AF3" i="5" s="1"/>
  <c r="AK3" i="5" a="1"/>
  <c r="AK3" i="5" s="1"/>
  <c r="AE3" i="5" a="1"/>
  <c r="AE3" i="5" s="1"/>
  <c r="AJ3" i="5" a="1"/>
  <c r="AJ3" i="5" s="1"/>
  <c r="AD3" i="5" a="1"/>
  <c r="AD3" i="5" s="1"/>
  <c r="B19" i="54" s="1"/>
  <c r="AI3" i="5" a="1"/>
  <c r="AI3" i="5" s="1"/>
  <c r="AB23" i="5"/>
  <c r="AA47" i="1" s="1"/>
  <c r="Y23" i="5"/>
  <c r="AA44" i="1" s="1"/>
  <c r="Z23" i="5"/>
  <c r="AA45" i="1" s="1"/>
  <c r="AS34" i="26"/>
  <c r="AS30" i="26"/>
  <c r="AS20" i="26"/>
  <c r="AS25" i="26"/>
  <c r="AS35" i="26"/>
  <c r="AS29" i="26"/>
  <c r="AS22" i="26"/>
  <c r="AS32" i="26"/>
  <c r="AS26" i="26"/>
  <c r="AS27" i="26"/>
  <c r="AS31" i="26"/>
  <c r="AS28" i="26"/>
  <c r="AS24" i="26"/>
  <c r="AS23" i="26"/>
  <c r="AS33" i="26"/>
  <c r="AS19" i="26"/>
  <c r="AS35" i="25"/>
  <c r="L3" i="53"/>
  <c r="R14" i="53"/>
  <c r="AS36" i="25"/>
  <c r="AS30" i="29"/>
  <c r="AS34" i="29"/>
  <c r="AS35" i="29"/>
  <c r="AS36" i="29"/>
  <c r="AS19" i="29"/>
  <c r="AS21" i="29"/>
  <c r="AS23" i="29"/>
  <c r="AS20" i="29"/>
  <c r="AS22" i="29"/>
  <c r="AS27" i="29"/>
  <c r="AS24" i="29"/>
  <c r="AS29" i="29"/>
  <c r="AS25" i="29"/>
  <c r="AS26" i="29"/>
  <c r="AS31" i="29"/>
  <c r="O7" i="54"/>
  <c r="E7" i="54"/>
  <c r="AS30" i="54"/>
  <c r="AS19" i="54"/>
  <c r="AS29" i="54"/>
  <c r="AS35" i="54"/>
  <c r="AS31" i="54"/>
  <c r="AS28" i="54"/>
  <c r="AS27" i="54"/>
  <c r="AS26" i="54"/>
  <c r="AS20" i="54"/>
  <c r="AS25" i="54"/>
  <c r="AS36" i="54"/>
  <c r="AS24" i="54"/>
  <c r="AS21" i="54"/>
  <c r="AS34" i="54"/>
  <c r="AS23" i="54"/>
  <c r="AS33" i="54"/>
  <c r="AS22" i="54"/>
  <c r="AS32" i="54"/>
  <c r="AS20" i="25"/>
  <c r="AS19" i="25"/>
  <c r="AS21" i="25"/>
  <c r="AS21" i="26"/>
  <c r="AS24" i="20"/>
  <c r="AS21" i="20"/>
  <c r="AS22" i="20"/>
  <c r="AS31" i="20"/>
  <c r="AS19" i="20"/>
  <c r="AS34" i="20"/>
  <c r="AS28" i="20"/>
  <c r="AS35" i="20"/>
  <c r="AS30" i="20"/>
  <c r="AS32" i="20"/>
  <c r="AS29" i="20"/>
  <c r="AS23" i="20"/>
  <c r="AS25" i="20"/>
  <c r="AS27" i="20"/>
  <c r="AS26" i="20"/>
  <c r="AS36" i="20"/>
  <c r="AS20" i="20"/>
  <c r="AS33" i="25"/>
  <c r="AS30" i="25"/>
  <c r="AS32" i="25"/>
  <c r="R23" i="5"/>
  <c r="Y43" i="1" s="1"/>
  <c r="AS26" i="25"/>
  <c r="AS27" i="25"/>
  <c r="AS23" i="25"/>
  <c r="AS25" i="25"/>
  <c r="AS22" i="25"/>
  <c r="AS24" i="25"/>
  <c r="AS31" i="25"/>
  <c r="U23" i="5"/>
  <c r="Y46" i="1" s="1"/>
  <c r="O23" i="5"/>
  <c r="W46" i="1" s="1"/>
  <c r="AL16" i="5" a="1"/>
  <c r="AL16" i="5" s="1"/>
  <c r="B27" i="45" s="1"/>
  <c r="AS28" i="25"/>
  <c r="AS29" i="25"/>
  <c r="T23" i="5"/>
  <c r="Y45" i="1" s="1"/>
  <c r="H23" i="5"/>
  <c r="U45" i="1" s="1"/>
  <c r="F23" i="5"/>
  <c r="U43" i="1" s="1"/>
  <c r="L23" i="5"/>
  <c r="W43" i="1" s="1"/>
  <c r="G23" i="5"/>
  <c r="U44" i="1" s="1"/>
  <c r="N23" i="5"/>
  <c r="W45" i="1" s="1"/>
  <c r="K23" i="5"/>
  <c r="U48" i="1" s="1"/>
  <c r="J23" i="5"/>
  <c r="U47" i="1" s="1"/>
  <c r="O7" i="51"/>
  <c r="V23" i="5"/>
  <c r="Y47" i="1" s="1"/>
  <c r="AO16" i="5" a="1"/>
  <c r="AO16" i="5" s="1"/>
  <c r="B30" i="45" s="1"/>
  <c r="AQ7" i="5" a="1"/>
  <c r="AQ7" i="5" s="1"/>
  <c r="B32" i="27" s="1"/>
  <c r="AA23" i="5"/>
  <c r="AA46" i="1" s="1"/>
  <c r="Q23" i="5"/>
  <c r="W48" i="1" s="1"/>
  <c r="S23" i="5"/>
  <c r="Y44" i="1" s="1"/>
  <c r="W23" i="5"/>
  <c r="Y48" i="1" s="1"/>
  <c r="P23" i="5"/>
  <c r="W47" i="1" s="1"/>
  <c r="AD16" i="5" a="1"/>
  <c r="AD16" i="5" s="1"/>
  <c r="B19" i="45" s="1"/>
  <c r="AM7" i="5" a="1"/>
  <c r="AM7" i="5" s="1"/>
  <c r="B28" i="27" s="1"/>
  <c r="AX16" i="5" a="1"/>
  <c r="AX16" i="5" s="1"/>
  <c r="AW7" i="5" a="1"/>
  <c r="AW7" i="5" s="1"/>
  <c r="M23" i="5"/>
  <c r="W44" i="1" s="1"/>
  <c r="AJ16" i="5" a="1"/>
  <c r="AJ16" i="5" s="1"/>
  <c r="B25" i="45" s="1"/>
  <c r="AH16" i="5" a="1"/>
  <c r="AH16" i="5" s="1"/>
  <c r="B23" i="45" s="1"/>
  <c r="AN16" i="5" a="1"/>
  <c r="AN16" i="5" s="1"/>
  <c r="B29" i="45" s="1"/>
  <c r="AI7" i="5" a="1"/>
  <c r="AI7" i="5" s="1"/>
  <c r="B24" i="27" s="1"/>
  <c r="O7" i="25"/>
  <c r="O7" i="27"/>
  <c r="AC23" i="5"/>
  <c r="AA48" i="1" s="1"/>
  <c r="I23" i="5"/>
  <c r="U46" i="1" s="1"/>
  <c r="X23" i="5"/>
  <c r="AA43" i="1" s="1"/>
  <c r="AV17" i="5" a="1"/>
  <c r="AV17" i="5" s="1"/>
  <c r="AR17" i="5" a="1"/>
  <c r="AR17" i="5" s="1"/>
  <c r="B33" i="46" s="1"/>
  <c r="AN17" i="5" a="1"/>
  <c r="AN17" i="5" s="1"/>
  <c r="B29" i="46" s="1"/>
  <c r="AJ17" i="5" a="1"/>
  <c r="AJ17" i="5" s="1"/>
  <c r="B25" i="46" s="1"/>
  <c r="AF17" i="5" a="1"/>
  <c r="AF17" i="5" s="1"/>
  <c r="B21" i="46" s="1"/>
  <c r="AU17" i="5" a="1"/>
  <c r="AU17" i="5" s="1"/>
  <c r="B36" i="46" s="1"/>
  <c r="AQ17" i="5" a="1"/>
  <c r="AQ17" i="5" s="1"/>
  <c r="B32" i="46" s="1"/>
  <c r="AM17" i="5" a="1"/>
  <c r="AM17" i="5" s="1"/>
  <c r="B28" i="46" s="1"/>
  <c r="AI17" i="5" a="1"/>
  <c r="AI17" i="5" s="1"/>
  <c r="B24" i="46" s="1"/>
  <c r="AE17" i="5" a="1"/>
  <c r="AE17" i="5" s="1"/>
  <c r="B20" i="46" s="1"/>
  <c r="AX17" i="5" a="1"/>
  <c r="AX17" i="5" s="1"/>
  <c r="AT17" i="5" a="1"/>
  <c r="AT17" i="5" s="1"/>
  <c r="B35" i="46" s="1"/>
  <c r="AP17" i="5" a="1"/>
  <c r="AP17" i="5" s="1"/>
  <c r="B31" i="46" s="1"/>
  <c r="AL17" i="5" a="1"/>
  <c r="AL17" i="5" s="1"/>
  <c r="B27" i="46" s="1"/>
  <c r="AH17" i="5" a="1"/>
  <c r="AH17" i="5" s="1"/>
  <c r="B23" i="46" s="1"/>
  <c r="AD17" i="5" a="1"/>
  <c r="AD17" i="5" s="1"/>
  <c r="B19" i="46" s="1"/>
  <c r="AW17" i="5" a="1"/>
  <c r="AW17" i="5" s="1"/>
  <c r="AS17" i="5" a="1"/>
  <c r="AS17" i="5" s="1"/>
  <c r="B34" i="46" s="1"/>
  <c r="AO17" i="5" a="1"/>
  <c r="AO17" i="5" s="1"/>
  <c r="B30" i="46" s="1"/>
  <c r="AK17" i="5" a="1"/>
  <c r="AK17" i="5" s="1"/>
  <c r="B26" i="46" s="1"/>
  <c r="AG17" i="5" a="1"/>
  <c r="AG17" i="5" s="1"/>
  <c r="B22" i="46" s="1"/>
  <c r="AU22" i="5" a="1"/>
  <c r="AU22" i="5" s="1"/>
  <c r="B36" i="51" s="1"/>
  <c r="AQ22" i="5" a="1"/>
  <c r="AQ22" i="5" s="1"/>
  <c r="B32" i="51" s="1"/>
  <c r="AM22" i="5" a="1"/>
  <c r="AM22" i="5" s="1"/>
  <c r="B28" i="51" s="1"/>
  <c r="AI22" i="5" a="1"/>
  <c r="AI22" i="5" s="1"/>
  <c r="B24" i="51" s="1"/>
  <c r="AE22" i="5" a="1"/>
  <c r="AE22" i="5" s="1"/>
  <c r="B20" i="51" s="1"/>
  <c r="AX22" i="5" a="1"/>
  <c r="AX22" i="5" s="1"/>
  <c r="AT22" i="5" a="1"/>
  <c r="AT22" i="5" s="1"/>
  <c r="B35" i="51" s="1"/>
  <c r="AP22" i="5" a="1"/>
  <c r="AP22" i="5" s="1"/>
  <c r="B31" i="51" s="1"/>
  <c r="AL22" i="5" a="1"/>
  <c r="AL22" i="5" s="1"/>
  <c r="B27" i="51" s="1"/>
  <c r="AH22" i="5" a="1"/>
  <c r="AH22" i="5" s="1"/>
  <c r="B23" i="51" s="1"/>
  <c r="AD22" i="5" a="1"/>
  <c r="AD22" i="5" s="1"/>
  <c r="B19" i="51" s="1"/>
  <c r="AW22" i="5" a="1"/>
  <c r="AW22" i="5" s="1"/>
  <c r="AS22" i="5" a="1"/>
  <c r="AS22" i="5" s="1"/>
  <c r="B34" i="51" s="1"/>
  <c r="AO22" i="5" a="1"/>
  <c r="AO22" i="5" s="1"/>
  <c r="B30" i="51" s="1"/>
  <c r="AK22" i="5" a="1"/>
  <c r="AK22" i="5" s="1"/>
  <c r="B26" i="51" s="1"/>
  <c r="AG22" i="5" a="1"/>
  <c r="AG22" i="5" s="1"/>
  <c r="B22" i="51" s="1"/>
  <c r="AV22" i="5" a="1"/>
  <c r="AV22" i="5" s="1"/>
  <c r="AR22" i="5" a="1"/>
  <c r="AR22" i="5" s="1"/>
  <c r="B33" i="51" s="1"/>
  <c r="AN22" i="5" a="1"/>
  <c r="AN22" i="5" s="1"/>
  <c r="B29" i="51" s="1"/>
  <c r="AJ22" i="5" a="1"/>
  <c r="AJ22" i="5" s="1"/>
  <c r="B25" i="51" s="1"/>
  <c r="AF22" i="5" a="1"/>
  <c r="AF22" i="5" s="1"/>
  <c r="B21" i="51" s="1"/>
  <c r="AP16" i="5" a="1"/>
  <c r="AP16" i="5" s="1"/>
  <c r="B31" i="45" s="1"/>
  <c r="AI16" i="5" a="1"/>
  <c r="AI16" i="5" s="1"/>
  <c r="B24" i="45" s="1"/>
  <c r="AV16" i="5" a="1"/>
  <c r="AV16" i="5" s="1"/>
  <c r="AS16" i="5" a="1"/>
  <c r="AS16" i="5" s="1"/>
  <c r="B34" i="45" s="1"/>
  <c r="AW14" i="5" a="1"/>
  <c r="AW14" i="5" s="1"/>
  <c r="AS14" i="5" a="1"/>
  <c r="AS14" i="5" s="1"/>
  <c r="B34" i="43" s="1"/>
  <c r="AO14" i="5" a="1"/>
  <c r="AO14" i="5" s="1"/>
  <c r="B30" i="43" s="1"/>
  <c r="AK14" i="5" a="1"/>
  <c r="AK14" i="5" s="1"/>
  <c r="B26" i="43" s="1"/>
  <c r="AG14" i="5" a="1"/>
  <c r="AG14" i="5" s="1"/>
  <c r="B22" i="43" s="1"/>
  <c r="AV14" i="5" a="1"/>
  <c r="AV14" i="5" s="1"/>
  <c r="AR14" i="5" a="1"/>
  <c r="AR14" i="5" s="1"/>
  <c r="B33" i="43" s="1"/>
  <c r="AN14" i="5" a="1"/>
  <c r="AN14" i="5" s="1"/>
  <c r="B29" i="43" s="1"/>
  <c r="AJ14" i="5" a="1"/>
  <c r="AJ14" i="5" s="1"/>
  <c r="B25" i="43" s="1"/>
  <c r="AF14" i="5" a="1"/>
  <c r="AF14" i="5" s="1"/>
  <c r="B21" i="43" s="1"/>
  <c r="AU14" i="5" a="1"/>
  <c r="AU14" i="5" s="1"/>
  <c r="B36" i="43" s="1"/>
  <c r="AQ14" i="5" a="1"/>
  <c r="AQ14" i="5" s="1"/>
  <c r="B32" i="43" s="1"/>
  <c r="AM14" i="5" a="1"/>
  <c r="AM14" i="5" s="1"/>
  <c r="B28" i="43" s="1"/>
  <c r="AI14" i="5" a="1"/>
  <c r="AI14" i="5" s="1"/>
  <c r="B24" i="43" s="1"/>
  <c r="AE14" i="5" a="1"/>
  <c r="AE14" i="5" s="1"/>
  <c r="B20" i="43" s="1"/>
  <c r="AX14" i="5" a="1"/>
  <c r="AX14" i="5" s="1"/>
  <c r="AT14" i="5" a="1"/>
  <c r="AT14" i="5" s="1"/>
  <c r="B35" i="43" s="1"/>
  <c r="AP14" i="5" a="1"/>
  <c r="AP14" i="5" s="1"/>
  <c r="B31" i="43" s="1"/>
  <c r="AL14" i="5" a="1"/>
  <c r="AL14" i="5" s="1"/>
  <c r="B27" i="43" s="1"/>
  <c r="AH14" i="5" a="1"/>
  <c r="AH14" i="5" s="1"/>
  <c r="B23" i="43" s="1"/>
  <c r="AD14" i="5" a="1"/>
  <c r="AD14" i="5" s="1"/>
  <c r="B19" i="43" s="1"/>
  <c r="AU7" i="5" a="1"/>
  <c r="AU7" i="5" s="1"/>
  <c r="B36" i="27" s="1"/>
  <c r="AE7" i="5" a="1"/>
  <c r="AE7" i="5" s="1"/>
  <c r="B20" i="27" s="1"/>
  <c r="AV11" i="5" a="1"/>
  <c r="AV11" i="5" s="1"/>
  <c r="AR11" i="5" a="1"/>
  <c r="AR11" i="5" s="1"/>
  <c r="B33" i="31" s="1"/>
  <c r="AN11" i="5" a="1"/>
  <c r="AN11" i="5" s="1"/>
  <c r="B29" i="31" s="1"/>
  <c r="AJ11" i="5" a="1"/>
  <c r="AJ11" i="5" s="1"/>
  <c r="B25" i="31" s="1"/>
  <c r="AF11" i="5" a="1"/>
  <c r="AF11" i="5" s="1"/>
  <c r="B21" i="31" s="1"/>
  <c r="AU11" i="5" a="1"/>
  <c r="AU11" i="5" s="1"/>
  <c r="B36" i="31" s="1"/>
  <c r="AQ11" i="5" a="1"/>
  <c r="AQ11" i="5" s="1"/>
  <c r="B32" i="31" s="1"/>
  <c r="AM11" i="5" a="1"/>
  <c r="AM11" i="5" s="1"/>
  <c r="B28" i="31" s="1"/>
  <c r="AI11" i="5" a="1"/>
  <c r="AI11" i="5" s="1"/>
  <c r="B24" i="31" s="1"/>
  <c r="AE11" i="5" a="1"/>
  <c r="AE11" i="5" s="1"/>
  <c r="B20" i="31" s="1"/>
  <c r="AX11" i="5" a="1"/>
  <c r="AX11" i="5" s="1"/>
  <c r="AT11" i="5" a="1"/>
  <c r="AT11" i="5" s="1"/>
  <c r="B35" i="31" s="1"/>
  <c r="AP11" i="5" a="1"/>
  <c r="AP11" i="5" s="1"/>
  <c r="B31" i="31" s="1"/>
  <c r="AL11" i="5" a="1"/>
  <c r="AL11" i="5" s="1"/>
  <c r="B27" i="31" s="1"/>
  <c r="AH11" i="5" a="1"/>
  <c r="AH11" i="5" s="1"/>
  <c r="B23" i="31" s="1"/>
  <c r="AD11" i="5" a="1"/>
  <c r="AD11" i="5" s="1"/>
  <c r="B19" i="31" s="1"/>
  <c r="AW11" i="5" a="1"/>
  <c r="AW11" i="5" s="1"/>
  <c r="AS11" i="5" a="1"/>
  <c r="AS11" i="5" s="1"/>
  <c r="B34" i="31" s="1"/>
  <c r="AO11" i="5" a="1"/>
  <c r="AO11" i="5" s="1"/>
  <c r="B30" i="31" s="1"/>
  <c r="AK11" i="5" a="1"/>
  <c r="AK11" i="5" s="1"/>
  <c r="B26" i="31" s="1"/>
  <c r="AG11" i="5" a="1"/>
  <c r="AG11" i="5" s="1"/>
  <c r="B22" i="31" s="1"/>
  <c r="AT7" i="5" a="1"/>
  <c r="AT7" i="5" s="1"/>
  <c r="B35" i="27" s="1"/>
  <c r="AD7" i="5" a="1"/>
  <c r="AD7" i="5" s="1"/>
  <c r="B19" i="27" s="1"/>
  <c r="AK7" i="5" a="1"/>
  <c r="AK7" i="5" s="1"/>
  <c r="B26" i="27" s="1"/>
  <c r="AJ7" i="5" a="1"/>
  <c r="AJ7" i="5" s="1"/>
  <c r="B25" i="27" s="1"/>
  <c r="AV6" i="5" a="1"/>
  <c r="AV6" i="5" s="1"/>
  <c r="AR6" i="5" a="1"/>
  <c r="AR6" i="5" s="1"/>
  <c r="B33" i="26" s="1"/>
  <c r="AN6" i="5" a="1"/>
  <c r="AN6" i="5" s="1"/>
  <c r="B29" i="26" s="1"/>
  <c r="AJ6" i="5" a="1"/>
  <c r="AJ6" i="5" s="1"/>
  <c r="B25" i="26" s="1"/>
  <c r="AF6" i="5" a="1"/>
  <c r="AF6" i="5" s="1"/>
  <c r="B21" i="26" s="1"/>
  <c r="AU6" i="5" a="1"/>
  <c r="AU6" i="5" s="1"/>
  <c r="B36" i="26" s="1"/>
  <c r="AQ6" i="5" a="1"/>
  <c r="AQ6" i="5" s="1"/>
  <c r="B32" i="26" s="1"/>
  <c r="AM6" i="5" a="1"/>
  <c r="AM6" i="5" s="1"/>
  <c r="B28" i="26" s="1"/>
  <c r="AI6" i="5" a="1"/>
  <c r="AI6" i="5" s="1"/>
  <c r="B24" i="26" s="1"/>
  <c r="AE6" i="5" a="1"/>
  <c r="AE6" i="5" s="1"/>
  <c r="B20" i="26" s="1"/>
  <c r="AX6" i="5" a="1"/>
  <c r="AX6" i="5" s="1"/>
  <c r="AT6" i="5" a="1"/>
  <c r="AT6" i="5" s="1"/>
  <c r="B35" i="26" s="1"/>
  <c r="AP6" i="5" a="1"/>
  <c r="AP6" i="5" s="1"/>
  <c r="B31" i="26" s="1"/>
  <c r="AL6" i="5" a="1"/>
  <c r="AL6" i="5" s="1"/>
  <c r="B27" i="26" s="1"/>
  <c r="AH6" i="5" a="1"/>
  <c r="AH6" i="5" s="1"/>
  <c r="B23" i="26" s="1"/>
  <c r="AD6" i="5" a="1"/>
  <c r="AD6" i="5" s="1"/>
  <c r="B19" i="26" s="1"/>
  <c r="AW6" i="5" a="1"/>
  <c r="AW6" i="5" s="1"/>
  <c r="AS6" i="5" a="1"/>
  <c r="AS6" i="5" s="1"/>
  <c r="B34" i="26" s="1"/>
  <c r="AO6" i="5" a="1"/>
  <c r="AO6" i="5" s="1"/>
  <c r="B30" i="26" s="1"/>
  <c r="AK6" i="5" a="1"/>
  <c r="AK6" i="5" s="1"/>
  <c r="B26" i="26" s="1"/>
  <c r="AG6" i="5" a="1"/>
  <c r="AG6" i="5" s="1"/>
  <c r="B22" i="26" s="1"/>
  <c r="AX4" i="5" a="1"/>
  <c r="AX4" i="5" s="1"/>
  <c r="AT4" i="5" a="1"/>
  <c r="AT4" i="5" s="1"/>
  <c r="AL4" i="5" a="1"/>
  <c r="AL4" i="5" s="1"/>
  <c r="AD4" i="5" a="1"/>
  <c r="AD4" i="5" s="1"/>
  <c r="AG4" i="5" a="1"/>
  <c r="AG4" i="5" s="1"/>
  <c r="AN4" i="5" a="1"/>
  <c r="AN4" i="5" s="1"/>
  <c r="AF4" i="5" a="1"/>
  <c r="AF4" i="5" s="1"/>
  <c r="AW4" i="5" a="1"/>
  <c r="AW4" i="5" s="1"/>
  <c r="AS4" i="5" a="1"/>
  <c r="AS4" i="5" s="1"/>
  <c r="AO4" i="5" a="1"/>
  <c r="AO4" i="5" s="1"/>
  <c r="AK4" i="5" a="1"/>
  <c r="AK4" i="5" s="1"/>
  <c r="AV4" i="5" a="1"/>
  <c r="AV4" i="5" s="1"/>
  <c r="AR4" i="5" a="1"/>
  <c r="AR4" i="5" s="1"/>
  <c r="AJ4" i="5" a="1"/>
  <c r="AJ4" i="5" s="1"/>
  <c r="AU4" i="5" a="1"/>
  <c r="AU4" i="5" s="1"/>
  <c r="AQ4" i="5" a="1"/>
  <c r="AQ4" i="5" s="1"/>
  <c r="AM4" i="5" a="1"/>
  <c r="AM4" i="5" s="1"/>
  <c r="AI4" i="5" a="1"/>
  <c r="AI4" i="5" s="1"/>
  <c r="AE4" i="5" a="1"/>
  <c r="AE4" i="5" s="1"/>
  <c r="AP4" i="5" a="1"/>
  <c r="AP4" i="5" s="1"/>
  <c r="AH4" i="5" a="1"/>
  <c r="AH4" i="5" s="1"/>
  <c r="AW5" i="5" a="1"/>
  <c r="AW5" i="5" s="1"/>
  <c r="AS5" i="5" a="1"/>
  <c r="AS5" i="5" s="1"/>
  <c r="B34" i="25" s="1"/>
  <c r="AO5" i="5" a="1"/>
  <c r="AO5" i="5" s="1"/>
  <c r="B30" i="25" s="1"/>
  <c r="AK5" i="5" a="1"/>
  <c r="AK5" i="5" s="1"/>
  <c r="B26" i="25" s="1"/>
  <c r="AG5" i="5" a="1"/>
  <c r="AG5" i="5" s="1"/>
  <c r="B22" i="25" s="1"/>
  <c r="AV5" i="5" a="1"/>
  <c r="AV5" i="5" s="1"/>
  <c r="AR5" i="5" a="1"/>
  <c r="AR5" i="5" s="1"/>
  <c r="B33" i="25" s="1"/>
  <c r="AN5" i="5" a="1"/>
  <c r="AN5" i="5" s="1"/>
  <c r="B29" i="25" s="1"/>
  <c r="AJ5" i="5" a="1"/>
  <c r="AJ5" i="5" s="1"/>
  <c r="B25" i="25" s="1"/>
  <c r="AU5" i="5" a="1"/>
  <c r="AU5" i="5" s="1"/>
  <c r="B36" i="25" s="1"/>
  <c r="AQ5" i="5" a="1"/>
  <c r="AQ5" i="5" s="1"/>
  <c r="B32" i="25" s="1"/>
  <c r="AM5" i="5" a="1"/>
  <c r="AM5" i="5" s="1"/>
  <c r="B28" i="25" s="1"/>
  <c r="AI5" i="5" a="1"/>
  <c r="AI5" i="5" s="1"/>
  <c r="B24" i="25" s="1"/>
  <c r="AE5" i="5" a="1"/>
  <c r="AE5" i="5" s="1"/>
  <c r="B20" i="25" s="1"/>
  <c r="AX5" i="5" a="1"/>
  <c r="AX5" i="5" s="1"/>
  <c r="AT5" i="5" a="1"/>
  <c r="AT5" i="5" s="1"/>
  <c r="B35" i="25" s="1"/>
  <c r="AP5" i="5" a="1"/>
  <c r="AP5" i="5" s="1"/>
  <c r="B31" i="25" s="1"/>
  <c r="AL5" i="5" a="1"/>
  <c r="AL5" i="5" s="1"/>
  <c r="B27" i="25" s="1"/>
  <c r="AH5" i="5" a="1"/>
  <c r="AH5" i="5" s="1"/>
  <c r="B23" i="25" s="1"/>
  <c r="AD5" i="5" a="1"/>
  <c r="AD5" i="5" s="1"/>
  <c r="B19" i="25" s="1"/>
  <c r="D19" i="25" s="1"/>
  <c r="AF5" i="5" a="1"/>
  <c r="AF5" i="5" s="1"/>
  <c r="B21" i="25" s="1"/>
  <c r="AX19" i="5" a="1"/>
  <c r="AX19" i="5" s="1"/>
  <c r="AT19" i="5" a="1"/>
  <c r="AT19" i="5" s="1"/>
  <c r="B35" i="48" s="1"/>
  <c r="AP19" i="5" a="1"/>
  <c r="AP19" i="5" s="1"/>
  <c r="B31" i="48" s="1"/>
  <c r="AL19" i="5" a="1"/>
  <c r="AL19" i="5" s="1"/>
  <c r="B27" i="48" s="1"/>
  <c r="AH19" i="5" a="1"/>
  <c r="AH19" i="5" s="1"/>
  <c r="B23" i="48" s="1"/>
  <c r="AD19" i="5" a="1"/>
  <c r="AD19" i="5" s="1"/>
  <c r="B19" i="48" s="1"/>
  <c r="AW19" i="5" a="1"/>
  <c r="AW19" i="5" s="1"/>
  <c r="AS19" i="5" a="1"/>
  <c r="AS19" i="5" s="1"/>
  <c r="B34" i="48" s="1"/>
  <c r="AO19" i="5" a="1"/>
  <c r="AO19" i="5" s="1"/>
  <c r="B30" i="48" s="1"/>
  <c r="AK19" i="5" a="1"/>
  <c r="AK19" i="5" s="1"/>
  <c r="B26" i="48" s="1"/>
  <c r="AG19" i="5" a="1"/>
  <c r="AG19" i="5" s="1"/>
  <c r="B22" i="48" s="1"/>
  <c r="AV19" i="5" a="1"/>
  <c r="AV19" i="5" s="1"/>
  <c r="AR19" i="5" a="1"/>
  <c r="AR19" i="5" s="1"/>
  <c r="B33" i="48" s="1"/>
  <c r="AN19" i="5" a="1"/>
  <c r="AN19" i="5" s="1"/>
  <c r="B29" i="48" s="1"/>
  <c r="AJ19" i="5" a="1"/>
  <c r="AJ19" i="5" s="1"/>
  <c r="B25" i="48" s="1"/>
  <c r="AF19" i="5" a="1"/>
  <c r="AF19" i="5" s="1"/>
  <c r="B21" i="48" s="1"/>
  <c r="AU19" i="5" a="1"/>
  <c r="AU19" i="5" s="1"/>
  <c r="B36" i="48" s="1"/>
  <c r="AQ19" i="5" a="1"/>
  <c r="AQ19" i="5" s="1"/>
  <c r="B32" i="48" s="1"/>
  <c r="AM19" i="5" a="1"/>
  <c r="AM19" i="5" s="1"/>
  <c r="B28" i="48" s="1"/>
  <c r="AI19" i="5" a="1"/>
  <c r="AI19" i="5" s="1"/>
  <c r="B24" i="48" s="1"/>
  <c r="AE19" i="5" a="1"/>
  <c r="AE19" i="5" s="1"/>
  <c r="B20" i="48" s="1"/>
  <c r="AT16" i="5" a="1"/>
  <c r="AT16" i="5" s="1"/>
  <c r="B35" i="45" s="1"/>
  <c r="AR16" i="5" a="1"/>
  <c r="AR16" i="5" s="1"/>
  <c r="B33" i="45" s="1"/>
  <c r="AU12" i="5" a="1"/>
  <c r="AU12" i="5" s="1"/>
  <c r="B36" i="32" s="1"/>
  <c r="AQ12" i="5" a="1"/>
  <c r="AQ12" i="5" s="1"/>
  <c r="B32" i="32" s="1"/>
  <c r="AM12" i="5" a="1"/>
  <c r="AM12" i="5" s="1"/>
  <c r="B28" i="32" s="1"/>
  <c r="AI12" i="5" a="1"/>
  <c r="AI12" i="5" s="1"/>
  <c r="B24" i="32" s="1"/>
  <c r="AE12" i="5" a="1"/>
  <c r="AE12" i="5" s="1"/>
  <c r="B20" i="32" s="1"/>
  <c r="AX12" i="5" a="1"/>
  <c r="AX12" i="5" s="1"/>
  <c r="AT12" i="5" a="1"/>
  <c r="AT12" i="5" s="1"/>
  <c r="B35" i="32" s="1"/>
  <c r="AP12" i="5" a="1"/>
  <c r="AP12" i="5" s="1"/>
  <c r="B31" i="32" s="1"/>
  <c r="AL12" i="5" a="1"/>
  <c r="AL12" i="5" s="1"/>
  <c r="B27" i="32" s="1"/>
  <c r="AH12" i="5" a="1"/>
  <c r="AH12" i="5" s="1"/>
  <c r="B23" i="32" s="1"/>
  <c r="AD12" i="5" a="1"/>
  <c r="AD12" i="5" s="1"/>
  <c r="B19" i="32" s="1"/>
  <c r="AW12" i="5" a="1"/>
  <c r="AW12" i="5" s="1"/>
  <c r="AS12" i="5" a="1"/>
  <c r="AS12" i="5" s="1"/>
  <c r="B34" i="32" s="1"/>
  <c r="AO12" i="5" a="1"/>
  <c r="AO12" i="5" s="1"/>
  <c r="B30" i="32" s="1"/>
  <c r="AK12" i="5" a="1"/>
  <c r="AK12" i="5" s="1"/>
  <c r="B26" i="32" s="1"/>
  <c r="AG12" i="5" a="1"/>
  <c r="AG12" i="5" s="1"/>
  <c r="B22" i="32" s="1"/>
  <c r="AV12" i="5" a="1"/>
  <c r="AV12" i="5" s="1"/>
  <c r="AR12" i="5" a="1"/>
  <c r="AR12" i="5" s="1"/>
  <c r="B33" i="32" s="1"/>
  <c r="AN12" i="5" a="1"/>
  <c r="AN12" i="5" s="1"/>
  <c r="B29" i="32" s="1"/>
  <c r="AJ12" i="5" a="1"/>
  <c r="AJ12" i="5" s="1"/>
  <c r="B25" i="32" s="1"/>
  <c r="AF12" i="5" a="1"/>
  <c r="AF12" i="5" s="1"/>
  <c r="B21" i="32" s="1"/>
  <c r="AM16" i="5" a="1"/>
  <c r="AM16" i="5" s="1"/>
  <c r="B28" i="45" s="1"/>
  <c r="AG16" i="5" a="1"/>
  <c r="AG16" i="5" s="1"/>
  <c r="B22" i="45" s="1"/>
  <c r="AW16" i="5" a="1"/>
  <c r="AW16" i="5" s="1"/>
  <c r="AP7" i="5" a="1"/>
  <c r="AP7" i="5" s="1"/>
  <c r="B31" i="27" s="1"/>
  <c r="AX13" i="5" a="1"/>
  <c r="AX13" i="5" s="1"/>
  <c r="AT13" i="5" a="1"/>
  <c r="AT13" i="5" s="1"/>
  <c r="B35" i="33" s="1"/>
  <c r="AP13" i="5" a="1"/>
  <c r="AP13" i="5" s="1"/>
  <c r="B31" i="33" s="1"/>
  <c r="AL13" i="5" a="1"/>
  <c r="AL13" i="5" s="1"/>
  <c r="B27" i="33" s="1"/>
  <c r="AH13" i="5" a="1"/>
  <c r="AH13" i="5" s="1"/>
  <c r="B23" i="33" s="1"/>
  <c r="AD13" i="5" a="1"/>
  <c r="AD13" i="5" s="1"/>
  <c r="B19" i="33" s="1"/>
  <c r="AW13" i="5" a="1"/>
  <c r="AW13" i="5" s="1"/>
  <c r="AS13" i="5" a="1"/>
  <c r="AS13" i="5" s="1"/>
  <c r="B34" i="33" s="1"/>
  <c r="AO13" i="5" a="1"/>
  <c r="AO13" i="5" s="1"/>
  <c r="B30" i="33" s="1"/>
  <c r="AK13" i="5" a="1"/>
  <c r="AK13" i="5" s="1"/>
  <c r="B26" i="33" s="1"/>
  <c r="AG13" i="5" a="1"/>
  <c r="AG13" i="5" s="1"/>
  <c r="B22" i="33" s="1"/>
  <c r="AV13" i="5" a="1"/>
  <c r="AV13" i="5" s="1"/>
  <c r="AR13" i="5" a="1"/>
  <c r="AR13" i="5" s="1"/>
  <c r="B33" i="33" s="1"/>
  <c r="AN13" i="5" a="1"/>
  <c r="AN13" i="5" s="1"/>
  <c r="B29" i="33" s="1"/>
  <c r="AJ13" i="5" a="1"/>
  <c r="AJ13" i="5" s="1"/>
  <c r="B25" i="33" s="1"/>
  <c r="AF13" i="5" a="1"/>
  <c r="AF13" i="5" s="1"/>
  <c r="B21" i="33" s="1"/>
  <c r="AU13" i="5" a="1"/>
  <c r="AU13" i="5" s="1"/>
  <c r="B36" i="33" s="1"/>
  <c r="AQ13" i="5" a="1"/>
  <c r="AQ13" i="5" s="1"/>
  <c r="B32" i="33" s="1"/>
  <c r="AM13" i="5" a="1"/>
  <c r="AM13" i="5" s="1"/>
  <c r="B28" i="33" s="1"/>
  <c r="AI13" i="5" a="1"/>
  <c r="AI13" i="5" s="1"/>
  <c r="B24" i="33" s="1"/>
  <c r="AE13" i="5" a="1"/>
  <c r="AE13" i="5" s="1"/>
  <c r="B20" i="33" s="1"/>
  <c r="AG7" i="5" a="1"/>
  <c r="AG7" i="5" s="1"/>
  <c r="B22" i="27" s="1"/>
  <c r="AV7" i="5" a="1"/>
  <c r="AV7" i="5" s="1"/>
  <c r="AF7" i="5" a="1"/>
  <c r="AF7" i="5" s="1"/>
  <c r="B21" i="27" s="1"/>
  <c r="AV21" i="5" a="1"/>
  <c r="AV21" i="5" s="1"/>
  <c r="AR21" i="5" a="1"/>
  <c r="AR21" i="5" s="1"/>
  <c r="AN21" i="5" a="1"/>
  <c r="AN21" i="5" s="1"/>
  <c r="AJ21" i="5" a="1"/>
  <c r="AJ21" i="5" s="1"/>
  <c r="AF21" i="5" a="1"/>
  <c r="AF21" i="5" s="1"/>
  <c r="AU21" i="5" a="1"/>
  <c r="AU21" i="5" s="1"/>
  <c r="AQ21" i="5" a="1"/>
  <c r="AQ21" i="5" s="1"/>
  <c r="AM21" i="5" a="1"/>
  <c r="AM21" i="5" s="1"/>
  <c r="AI21" i="5" a="1"/>
  <c r="AI21" i="5" s="1"/>
  <c r="AE21" i="5" a="1"/>
  <c r="AE21" i="5" s="1"/>
  <c r="AX21" i="5" a="1"/>
  <c r="AX21" i="5" s="1"/>
  <c r="AT21" i="5" a="1"/>
  <c r="AT21" i="5" s="1"/>
  <c r="AP21" i="5" a="1"/>
  <c r="AP21" i="5" s="1"/>
  <c r="AL21" i="5" a="1"/>
  <c r="AL21" i="5" s="1"/>
  <c r="AH21" i="5" a="1"/>
  <c r="AH21" i="5" s="1"/>
  <c r="AD21" i="5" a="1"/>
  <c r="AD21" i="5" s="1"/>
  <c r="AW21" i="5" a="1"/>
  <c r="AW21" i="5" s="1"/>
  <c r="AS21" i="5" a="1"/>
  <c r="AS21" i="5" s="1"/>
  <c r="AO21" i="5" a="1"/>
  <c r="AO21" i="5" s="1"/>
  <c r="AK21" i="5" a="1"/>
  <c r="AK21" i="5" s="1"/>
  <c r="AG21" i="5" a="1"/>
  <c r="AG21" i="5" s="1"/>
  <c r="AQ16" i="5" a="1"/>
  <c r="AQ16" i="5" s="1"/>
  <c r="B32" i="45" s="1"/>
  <c r="AK16" i="5" a="1"/>
  <c r="AK16" i="5" s="1"/>
  <c r="B26" i="45" s="1"/>
  <c r="AU18" i="5" a="1"/>
  <c r="AU18" i="5" s="1"/>
  <c r="AQ18" i="5" a="1"/>
  <c r="AQ18" i="5" s="1"/>
  <c r="AM18" i="5" a="1"/>
  <c r="AM18" i="5" s="1"/>
  <c r="AI18" i="5" a="1"/>
  <c r="AI18" i="5" s="1"/>
  <c r="AE18" i="5" a="1"/>
  <c r="AE18" i="5" s="1"/>
  <c r="AX18" i="5" a="1"/>
  <c r="AX18" i="5" s="1"/>
  <c r="AT18" i="5" a="1"/>
  <c r="AT18" i="5" s="1"/>
  <c r="AP18" i="5" a="1"/>
  <c r="AP18" i="5" s="1"/>
  <c r="AL18" i="5" a="1"/>
  <c r="AL18" i="5" s="1"/>
  <c r="AH18" i="5" a="1"/>
  <c r="AH18" i="5" s="1"/>
  <c r="AD18" i="5" a="1"/>
  <c r="AD18" i="5" s="1"/>
  <c r="AW18" i="5" a="1"/>
  <c r="AW18" i="5" s="1"/>
  <c r="AS18" i="5" a="1"/>
  <c r="AS18" i="5" s="1"/>
  <c r="AO18" i="5" a="1"/>
  <c r="AO18" i="5" s="1"/>
  <c r="AK18" i="5" a="1"/>
  <c r="AK18" i="5" s="1"/>
  <c r="AG18" i="5" a="1"/>
  <c r="AG18" i="5" s="1"/>
  <c r="AV18" i="5" a="1"/>
  <c r="AV18" i="5" s="1"/>
  <c r="AR18" i="5" a="1"/>
  <c r="AR18" i="5" s="1"/>
  <c r="AN18" i="5" a="1"/>
  <c r="AN18" i="5" s="1"/>
  <c r="AJ18" i="5" a="1"/>
  <c r="AJ18" i="5" s="1"/>
  <c r="AF18" i="5" a="1"/>
  <c r="AF18" i="5" s="1"/>
  <c r="AF16" i="5" a="1"/>
  <c r="AF16" i="5" s="1"/>
  <c r="B21" i="45" s="1"/>
  <c r="AX15" i="5" a="1"/>
  <c r="AX15" i="5" s="1"/>
  <c r="AT15" i="5" a="1"/>
  <c r="AT15" i="5" s="1"/>
  <c r="B35" i="44" s="1"/>
  <c r="AP15" i="5" a="1"/>
  <c r="AP15" i="5" s="1"/>
  <c r="B31" i="44" s="1"/>
  <c r="AL15" i="5" a="1"/>
  <c r="AL15" i="5" s="1"/>
  <c r="B27" i="44" s="1"/>
  <c r="AH15" i="5" a="1"/>
  <c r="AH15" i="5" s="1"/>
  <c r="B23" i="44" s="1"/>
  <c r="AD15" i="5" a="1"/>
  <c r="AD15" i="5" s="1"/>
  <c r="B19" i="44" s="1"/>
  <c r="AV15" i="5" a="1"/>
  <c r="AV15" i="5" s="1"/>
  <c r="AR15" i="5" a="1"/>
  <c r="AR15" i="5" s="1"/>
  <c r="B33" i="44" s="1"/>
  <c r="AN15" i="5" a="1"/>
  <c r="AN15" i="5" s="1"/>
  <c r="B29" i="44" s="1"/>
  <c r="AJ15" i="5" a="1"/>
  <c r="AJ15" i="5" s="1"/>
  <c r="B25" i="44" s="1"/>
  <c r="AF15" i="5" a="1"/>
  <c r="AF15" i="5" s="1"/>
  <c r="B21" i="44" s="1"/>
  <c r="AQ15" i="5" a="1"/>
  <c r="AQ15" i="5" s="1"/>
  <c r="B32" i="44" s="1"/>
  <c r="AI15" i="5" a="1"/>
  <c r="AI15" i="5" s="1"/>
  <c r="B24" i="44" s="1"/>
  <c r="AW15" i="5" a="1"/>
  <c r="AW15" i="5" s="1"/>
  <c r="AO15" i="5" a="1"/>
  <c r="AO15" i="5" s="1"/>
  <c r="B30" i="44" s="1"/>
  <c r="AG15" i="5" a="1"/>
  <c r="AG15" i="5" s="1"/>
  <c r="B22" i="44" s="1"/>
  <c r="AU15" i="5" a="1"/>
  <c r="AU15" i="5" s="1"/>
  <c r="B36" i="44" s="1"/>
  <c r="AM15" i="5" a="1"/>
  <c r="AM15" i="5" s="1"/>
  <c r="B28" i="44" s="1"/>
  <c r="AE15" i="5" a="1"/>
  <c r="AE15" i="5" s="1"/>
  <c r="B20" i="44" s="1"/>
  <c r="AS15" i="5" a="1"/>
  <c r="AS15" i="5" s="1"/>
  <c r="B34" i="44" s="1"/>
  <c r="AK15" i="5" a="1"/>
  <c r="AK15" i="5" s="1"/>
  <c r="B26" i="44" s="1"/>
  <c r="AL7" i="5" a="1"/>
  <c r="AL7" i="5" s="1"/>
  <c r="B27" i="27" s="1"/>
  <c r="AS7" i="5" a="1"/>
  <c r="AS7" i="5" s="1"/>
  <c r="B34" i="27" s="1"/>
  <c r="AR7" i="5" a="1"/>
  <c r="AR7" i="5" s="1"/>
  <c r="B33" i="27" s="1"/>
  <c r="AW9" i="5" a="1"/>
  <c r="AW9" i="5" s="1"/>
  <c r="AS9" i="5" a="1"/>
  <c r="AS9" i="5" s="1"/>
  <c r="B34" i="29" s="1"/>
  <c r="AO9" i="5" a="1"/>
  <c r="AO9" i="5" s="1"/>
  <c r="B30" i="29" s="1"/>
  <c r="AK9" i="5" a="1"/>
  <c r="AK9" i="5" s="1"/>
  <c r="B26" i="29" s="1"/>
  <c r="AG9" i="5" a="1"/>
  <c r="AG9" i="5" s="1"/>
  <c r="B22" i="29" s="1"/>
  <c r="AV9" i="5" a="1"/>
  <c r="AV9" i="5" s="1"/>
  <c r="AR9" i="5" a="1"/>
  <c r="AR9" i="5" s="1"/>
  <c r="B33" i="29" s="1"/>
  <c r="AU9" i="5" a="1"/>
  <c r="AU9" i="5" s="1"/>
  <c r="B36" i="29" s="1"/>
  <c r="AQ9" i="5" a="1"/>
  <c r="AQ9" i="5" s="1"/>
  <c r="B32" i="29" s="1"/>
  <c r="AM9" i="5" a="1"/>
  <c r="AM9" i="5" s="1"/>
  <c r="B28" i="29" s="1"/>
  <c r="AI9" i="5" a="1"/>
  <c r="AI9" i="5" s="1"/>
  <c r="B24" i="29" s="1"/>
  <c r="AE9" i="5" a="1"/>
  <c r="AE9" i="5" s="1"/>
  <c r="B20" i="29" s="1"/>
  <c r="AT9" i="5" a="1"/>
  <c r="AT9" i="5" s="1"/>
  <c r="B35" i="29" s="1"/>
  <c r="AJ9" i="5" a="1"/>
  <c r="AJ9" i="5" s="1"/>
  <c r="B25" i="29" s="1"/>
  <c r="AP9" i="5" a="1"/>
  <c r="AP9" i="5" s="1"/>
  <c r="B31" i="29" s="1"/>
  <c r="AH9" i="5" a="1"/>
  <c r="AH9" i="5" s="1"/>
  <c r="B23" i="29" s="1"/>
  <c r="AN9" i="5" a="1"/>
  <c r="AN9" i="5" s="1"/>
  <c r="B29" i="29" s="1"/>
  <c r="AF9" i="5" a="1"/>
  <c r="AF9" i="5" s="1"/>
  <c r="B21" i="29" s="1"/>
  <c r="AX9" i="5" a="1"/>
  <c r="AX9" i="5" s="1"/>
  <c r="AL9" i="5" a="1"/>
  <c r="AL9" i="5" s="1"/>
  <c r="B27" i="29" s="1"/>
  <c r="AD9" i="5" a="1"/>
  <c r="AD9" i="5" s="1"/>
  <c r="B19" i="29" s="1"/>
  <c r="AW20" i="5" a="1"/>
  <c r="AW20" i="5" s="1"/>
  <c r="AS20" i="5" a="1"/>
  <c r="AS20" i="5" s="1"/>
  <c r="B34" i="49" s="1"/>
  <c r="AO20" i="5" a="1"/>
  <c r="AO20" i="5" s="1"/>
  <c r="B30" i="49" s="1"/>
  <c r="AK20" i="5" a="1"/>
  <c r="AK20" i="5" s="1"/>
  <c r="B26" i="49" s="1"/>
  <c r="AG20" i="5" a="1"/>
  <c r="AG20" i="5" s="1"/>
  <c r="B22" i="49" s="1"/>
  <c r="AV20" i="5" a="1"/>
  <c r="AV20" i="5" s="1"/>
  <c r="AR20" i="5" a="1"/>
  <c r="AR20" i="5" s="1"/>
  <c r="B33" i="49" s="1"/>
  <c r="AN20" i="5" a="1"/>
  <c r="AN20" i="5" s="1"/>
  <c r="B29" i="49" s="1"/>
  <c r="AJ20" i="5" a="1"/>
  <c r="AJ20" i="5" s="1"/>
  <c r="B25" i="49" s="1"/>
  <c r="AF20" i="5" a="1"/>
  <c r="AF20" i="5" s="1"/>
  <c r="B21" i="49" s="1"/>
  <c r="AU20" i="5" a="1"/>
  <c r="AU20" i="5" s="1"/>
  <c r="B36" i="49" s="1"/>
  <c r="AQ20" i="5" a="1"/>
  <c r="AQ20" i="5" s="1"/>
  <c r="B32" i="49" s="1"/>
  <c r="AM20" i="5" a="1"/>
  <c r="AM20" i="5" s="1"/>
  <c r="B28" i="49" s="1"/>
  <c r="AI20" i="5" a="1"/>
  <c r="AI20" i="5" s="1"/>
  <c r="B24" i="49" s="1"/>
  <c r="AE20" i="5" a="1"/>
  <c r="AE20" i="5" s="1"/>
  <c r="B20" i="49" s="1"/>
  <c r="AX20" i="5" a="1"/>
  <c r="AX20" i="5" s="1"/>
  <c r="AT20" i="5" a="1"/>
  <c r="AT20" i="5" s="1"/>
  <c r="B35" i="49" s="1"/>
  <c r="AP20" i="5" a="1"/>
  <c r="AP20" i="5" s="1"/>
  <c r="B31" i="49" s="1"/>
  <c r="AL20" i="5" a="1"/>
  <c r="AL20" i="5" s="1"/>
  <c r="B27" i="49" s="1"/>
  <c r="AH20" i="5" a="1"/>
  <c r="AH20" i="5" s="1"/>
  <c r="B23" i="49" s="1"/>
  <c r="AD20" i="5" a="1"/>
  <c r="AD20" i="5" s="1"/>
  <c r="B19" i="49" s="1"/>
  <c r="AE16" i="5" a="1"/>
  <c r="AE16" i="5" s="1"/>
  <c r="B20" i="45" s="1"/>
  <c r="AU16" i="5" a="1"/>
  <c r="AU16" i="5" s="1"/>
  <c r="B36" i="45" s="1"/>
  <c r="AV8" i="5" a="1"/>
  <c r="AV8" i="5" s="1"/>
  <c r="AR8" i="5" a="1"/>
  <c r="AR8" i="5" s="1"/>
  <c r="B33" i="28" s="1"/>
  <c r="AN8" i="5" a="1"/>
  <c r="AN8" i="5" s="1"/>
  <c r="B29" i="28" s="1"/>
  <c r="AJ8" i="5" a="1"/>
  <c r="AJ8" i="5" s="1"/>
  <c r="B25" i="28" s="1"/>
  <c r="AF8" i="5" a="1"/>
  <c r="AF8" i="5" s="1"/>
  <c r="B21" i="28" s="1"/>
  <c r="AW8" i="5" a="1"/>
  <c r="AW8" i="5" s="1"/>
  <c r="AQ8" i="5" a="1"/>
  <c r="AQ8" i="5" s="1"/>
  <c r="B32" i="28" s="1"/>
  <c r="AL8" i="5" a="1"/>
  <c r="AL8" i="5" s="1"/>
  <c r="B27" i="28" s="1"/>
  <c r="AG8" i="5" a="1"/>
  <c r="AG8" i="5" s="1"/>
  <c r="B22" i="28" s="1"/>
  <c r="AU8" i="5" a="1"/>
  <c r="AU8" i="5" s="1"/>
  <c r="B36" i="28" s="1"/>
  <c r="AP8" i="5" a="1"/>
  <c r="AP8" i="5" s="1"/>
  <c r="B31" i="28" s="1"/>
  <c r="AK8" i="5" a="1"/>
  <c r="AK8" i="5" s="1"/>
  <c r="B26" i="28" s="1"/>
  <c r="AE8" i="5" a="1"/>
  <c r="AE8" i="5" s="1"/>
  <c r="B20" i="28" s="1"/>
  <c r="AT8" i="5" a="1"/>
  <c r="AT8" i="5" s="1"/>
  <c r="B35" i="28" s="1"/>
  <c r="AO8" i="5" a="1"/>
  <c r="AO8" i="5" s="1"/>
  <c r="B30" i="28" s="1"/>
  <c r="AI8" i="5" a="1"/>
  <c r="AI8" i="5" s="1"/>
  <c r="B24" i="28" s="1"/>
  <c r="AD8" i="5" a="1"/>
  <c r="AD8" i="5" s="1"/>
  <c r="B19" i="28" s="1"/>
  <c r="AX8" i="5" a="1"/>
  <c r="AX8" i="5" s="1"/>
  <c r="AS8" i="5" a="1"/>
  <c r="AS8" i="5" s="1"/>
  <c r="B34" i="28" s="1"/>
  <c r="AM8" i="5" a="1"/>
  <c r="AM8" i="5" s="1"/>
  <c r="B28" i="28" s="1"/>
  <c r="AH8" i="5" a="1"/>
  <c r="AH8" i="5" s="1"/>
  <c r="B23" i="28" s="1"/>
  <c r="AX7" i="5" a="1"/>
  <c r="AX7" i="5" s="1"/>
  <c r="AH7" i="5" a="1"/>
  <c r="AH7" i="5" s="1"/>
  <c r="B23" i="27" s="1"/>
  <c r="AO7" i="5" a="1"/>
  <c r="AO7" i="5" s="1"/>
  <c r="B30" i="27" s="1"/>
  <c r="AW10" i="5" a="1"/>
  <c r="AW10" i="5" s="1"/>
  <c r="AS10" i="5" a="1"/>
  <c r="AS10" i="5" s="1"/>
  <c r="B34" i="30" s="1"/>
  <c r="AO10" i="5" a="1"/>
  <c r="AO10" i="5" s="1"/>
  <c r="B30" i="30" s="1"/>
  <c r="AK10" i="5" a="1"/>
  <c r="AK10" i="5" s="1"/>
  <c r="B26" i="30" s="1"/>
  <c r="AG10" i="5" a="1"/>
  <c r="AG10" i="5" s="1"/>
  <c r="B22" i="30" s="1"/>
  <c r="AV10" i="5" a="1"/>
  <c r="AV10" i="5" s="1"/>
  <c r="AR10" i="5" a="1"/>
  <c r="AR10" i="5" s="1"/>
  <c r="B33" i="30" s="1"/>
  <c r="AN10" i="5" a="1"/>
  <c r="AN10" i="5" s="1"/>
  <c r="B29" i="30" s="1"/>
  <c r="AJ10" i="5" a="1"/>
  <c r="AJ10" i="5" s="1"/>
  <c r="B25" i="30" s="1"/>
  <c r="AF10" i="5" a="1"/>
  <c r="AF10" i="5" s="1"/>
  <c r="B21" i="30" s="1"/>
  <c r="AU10" i="5" a="1"/>
  <c r="AU10" i="5" s="1"/>
  <c r="B36" i="30" s="1"/>
  <c r="AQ10" i="5" a="1"/>
  <c r="AQ10" i="5" s="1"/>
  <c r="B32" i="30" s="1"/>
  <c r="AM10" i="5" a="1"/>
  <c r="AM10" i="5" s="1"/>
  <c r="B28" i="30" s="1"/>
  <c r="AI10" i="5" a="1"/>
  <c r="AI10" i="5" s="1"/>
  <c r="B24" i="30" s="1"/>
  <c r="AE10" i="5" a="1"/>
  <c r="AE10" i="5" s="1"/>
  <c r="B20" i="30" s="1"/>
  <c r="AX10" i="5" a="1"/>
  <c r="AX10" i="5" s="1"/>
  <c r="AT10" i="5" a="1"/>
  <c r="AT10" i="5" s="1"/>
  <c r="B35" i="30" s="1"/>
  <c r="AP10" i="5" a="1"/>
  <c r="AP10" i="5" s="1"/>
  <c r="B31" i="30" s="1"/>
  <c r="AL10" i="5" a="1"/>
  <c r="AL10" i="5" s="1"/>
  <c r="B27" i="30" s="1"/>
  <c r="AH10" i="5" a="1"/>
  <c r="AH10" i="5" s="1"/>
  <c r="B23" i="30" s="1"/>
  <c r="AD10" i="5" a="1"/>
  <c r="AD10" i="5" s="1"/>
  <c r="B19" i="30" s="1"/>
  <c r="AN7" i="5" a="1"/>
  <c r="AN7" i="5" s="1"/>
  <c r="B29" i="27" s="1"/>
  <c r="O7" i="20"/>
  <c r="O7" i="50"/>
  <c r="O7" i="33"/>
  <c r="O7" i="44"/>
  <c r="AX3" i="5" a="1"/>
  <c r="AX3" i="5" s="1"/>
  <c r="E7" i="27"/>
  <c r="O7" i="32"/>
  <c r="O7" i="30"/>
  <c r="O7" i="47"/>
  <c r="O7" i="26"/>
  <c r="O7" i="31"/>
  <c r="O7" i="43"/>
  <c r="O7" i="46"/>
  <c r="O7" i="28"/>
  <c r="O7" i="29"/>
  <c r="O7" i="45"/>
  <c r="O7" i="48"/>
  <c r="AQ3" i="5" a="1"/>
  <c r="AQ3" i="5" s="1"/>
  <c r="AT3" i="5" a="1"/>
  <c r="AT3" i="5" s="1"/>
  <c r="AP3" i="5" a="1"/>
  <c r="AP3" i="5" s="1"/>
  <c r="AS3" i="5" a="1"/>
  <c r="AS3" i="5" s="1"/>
  <c r="O7" i="49"/>
  <c r="AM3" i="5" a="1"/>
  <c r="AM3" i="5" s="1"/>
  <c r="AN3" i="5" a="1"/>
  <c r="AN3" i="5" s="1"/>
  <c r="E7" i="45"/>
  <c r="E7" i="31"/>
  <c r="E7" i="26"/>
  <c r="E7" i="28"/>
  <c r="E7" i="48"/>
  <c r="E7" i="49"/>
  <c r="E7" i="50"/>
  <c r="E7" i="47"/>
  <c r="E7" i="43"/>
  <c r="E7" i="44"/>
  <c r="AU3" i="5" a="1"/>
  <c r="AU3" i="5" s="1"/>
  <c r="AV3" i="5" a="1"/>
  <c r="AV3" i="5" s="1"/>
  <c r="AR3" i="5" a="1"/>
  <c r="AR3" i="5" s="1"/>
  <c r="AO3" i="5" a="1"/>
  <c r="AO3" i="5" s="1"/>
  <c r="AW3" i="5" a="1"/>
  <c r="AW3" i="5" s="1"/>
  <c r="E7" i="51"/>
  <c r="E7" i="46"/>
  <c r="E7" i="30"/>
  <c r="E7" i="29"/>
  <c r="E7" i="25"/>
  <c r="E7" i="20"/>
  <c r="E7" i="32"/>
  <c r="E7" i="33"/>
  <c r="AO35" i="27"/>
  <c r="AO33" i="27"/>
  <c r="AO31" i="27"/>
  <c r="AO29" i="27"/>
  <c r="AO27" i="27"/>
  <c r="AO25" i="27"/>
  <c r="AO23" i="27"/>
  <c r="AO36" i="27"/>
  <c r="AO34" i="27"/>
  <c r="AO32" i="27"/>
  <c r="AO30" i="27"/>
  <c r="AO28" i="27"/>
  <c r="AO26" i="27"/>
  <c r="AO24" i="27"/>
  <c r="AO22" i="27"/>
  <c r="AO20" i="27"/>
  <c r="AO21" i="27"/>
  <c r="AO19" i="27"/>
  <c r="AO36" i="28"/>
  <c r="AO34" i="28"/>
  <c r="AO32" i="28"/>
  <c r="AO30" i="28"/>
  <c r="AO28" i="28"/>
  <c r="AO26" i="28"/>
  <c r="AO24" i="28"/>
  <c r="AO22" i="28"/>
  <c r="AO20" i="28"/>
  <c r="AO35" i="28"/>
  <c r="AO33" i="28"/>
  <c r="AO31" i="28"/>
  <c r="AO29" i="28"/>
  <c r="AO27" i="28"/>
  <c r="AO25" i="28"/>
  <c r="AO23" i="28"/>
  <c r="AO21" i="28"/>
  <c r="AO19" i="28"/>
  <c r="AO35" i="44"/>
  <c r="AO33" i="44"/>
  <c r="AO31" i="44"/>
  <c r="AO29" i="44"/>
  <c r="AO27" i="44"/>
  <c r="AO25" i="44"/>
  <c r="AO36" i="44"/>
  <c r="AO34" i="44"/>
  <c r="AO32" i="44"/>
  <c r="AO30" i="44"/>
  <c r="AO28" i="44"/>
  <c r="AO26" i="44"/>
  <c r="AO24" i="44"/>
  <c r="AO22" i="44"/>
  <c r="AO20" i="44"/>
  <c r="AO23" i="44"/>
  <c r="AO19" i="44"/>
  <c r="AO21" i="44"/>
  <c r="AO35" i="48"/>
  <c r="AO33" i="48"/>
  <c r="AO31" i="48"/>
  <c r="AO29" i="48"/>
  <c r="AO27" i="48"/>
  <c r="AO25" i="48"/>
  <c r="AO23" i="48"/>
  <c r="AO21" i="48"/>
  <c r="AO19" i="48"/>
  <c r="AO36" i="48"/>
  <c r="AO34" i="48"/>
  <c r="AO32" i="48"/>
  <c r="AO30" i="48"/>
  <c r="AO28" i="48"/>
  <c r="AO26" i="48"/>
  <c r="AO24" i="48"/>
  <c r="AO22" i="48"/>
  <c r="AO20" i="48"/>
  <c r="AO35" i="20"/>
  <c r="AO33" i="20"/>
  <c r="AO31" i="20"/>
  <c r="AO29" i="20"/>
  <c r="AO27" i="20"/>
  <c r="AO25" i="20"/>
  <c r="AO23" i="20"/>
  <c r="AO21" i="20"/>
  <c r="AO19" i="20"/>
  <c r="AO36" i="20"/>
  <c r="AO28" i="20"/>
  <c r="AO20" i="20"/>
  <c r="AO30" i="20"/>
  <c r="AO22" i="20"/>
  <c r="AO32" i="20"/>
  <c r="AO24" i="20"/>
  <c r="AO34" i="20"/>
  <c r="AO26" i="20"/>
  <c r="AO35" i="29"/>
  <c r="AO33" i="29"/>
  <c r="AO31" i="29"/>
  <c r="AO29" i="29"/>
  <c r="AO27" i="29"/>
  <c r="AO25" i="29"/>
  <c r="AO23" i="29"/>
  <c r="AO21" i="29"/>
  <c r="AO19" i="29"/>
  <c r="AO36" i="29"/>
  <c r="AO34" i="29"/>
  <c r="AO32" i="29"/>
  <c r="AO30" i="29"/>
  <c r="AO28" i="29"/>
  <c r="AO26" i="29"/>
  <c r="AO24" i="29"/>
  <c r="AO22" i="29"/>
  <c r="AO20" i="29"/>
  <c r="AO35" i="30"/>
  <c r="AO34" i="30"/>
  <c r="AO32" i="30"/>
  <c r="AO30" i="30"/>
  <c r="AO28" i="30"/>
  <c r="AO26" i="30"/>
  <c r="AO24" i="30"/>
  <c r="AO22" i="30"/>
  <c r="AO20" i="30"/>
  <c r="AO36" i="30"/>
  <c r="AO33" i="30"/>
  <c r="AO31" i="30"/>
  <c r="AO29" i="30"/>
  <c r="AO27" i="30"/>
  <c r="AO25" i="30"/>
  <c r="AO23" i="30"/>
  <c r="AO21" i="30"/>
  <c r="AO19" i="30"/>
  <c r="AO35" i="46"/>
  <c r="AO33" i="46"/>
  <c r="AO31" i="46"/>
  <c r="AO29" i="46"/>
  <c r="AO27" i="46"/>
  <c r="AO25" i="46"/>
  <c r="AO23" i="46"/>
  <c r="AO21" i="46"/>
  <c r="AO19" i="46"/>
  <c r="AO36" i="46"/>
  <c r="AO32" i="46"/>
  <c r="AO28" i="46"/>
  <c r="AO24" i="46"/>
  <c r="AO20" i="46"/>
  <c r="AO34" i="46"/>
  <c r="AO30" i="46"/>
  <c r="AO26" i="46"/>
  <c r="AO22" i="46"/>
  <c r="AO35" i="51"/>
  <c r="AO33" i="51"/>
  <c r="AO31" i="51"/>
  <c r="AO29" i="51"/>
  <c r="AO27" i="51"/>
  <c r="AO25" i="51"/>
  <c r="AO23" i="51"/>
  <c r="AO21" i="51"/>
  <c r="AO19" i="51"/>
  <c r="AO36" i="51"/>
  <c r="AO34" i="51"/>
  <c r="AO32" i="51"/>
  <c r="AO30" i="51"/>
  <c r="AO28" i="51"/>
  <c r="AO26" i="51"/>
  <c r="AO24" i="51"/>
  <c r="AO22" i="51"/>
  <c r="AO20" i="51"/>
  <c r="AO35" i="26"/>
  <c r="AO33" i="26"/>
  <c r="AO31" i="26"/>
  <c r="AO29" i="26"/>
  <c r="AO27" i="26"/>
  <c r="AO25" i="26"/>
  <c r="AO23" i="26"/>
  <c r="AO21" i="26"/>
  <c r="AO19" i="26"/>
  <c r="AO34" i="26"/>
  <c r="AO26" i="26"/>
  <c r="AO36" i="26"/>
  <c r="AO28" i="26"/>
  <c r="AO20" i="26"/>
  <c r="AO30" i="26"/>
  <c r="AO22" i="26"/>
  <c r="AO32" i="26"/>
  <c r="AO24" i="26"/>
  <c r="AO35" i="43"/>
  <c r="AO33" i="43"/>
  <c r="AO31" i="43"/>
  <c r="AO29" i="43"/>
  <c r="AO27" i="43"/>
  <c r="AO25" i="43"/>
  <c r="AO23" i="43"/>
  <c r="AO21" i="43"/>
  <c r="AO19" i="43"/>
  <c r="AO36" i="43"/>
  <c r="AO28" i="43"/>
  <c r="AO20" i="43"/>
  <c r="AO30" i="43"/>
  <c r="AO22" i="43"/>
  <c r="AO32" i="43"/>
  <c r="AO24" i="43"/>
  <c r="AO34" i="43"/>
  <c r="AO26" i="43"/>
  <c r="AO36" i="31"/>
  <c r="AO34" i="31"/>
  <c r="AO32" i="31"/>
  <c r="AO30" i="31"/>
  <c r="AO28" i="31"/>
  <c r="AO26" i="31"/>
  <c r="AO24" i="31"/>
  <c r="AO22" i="31"/>
  <c r="AO20" i="31"/>
  <c r="AO33" i="31"/>
  <c r="AO25" i="31"/>
  <c r="AO35" i="31"/>
  <c r="AO27" i="31"/>
  <c r="AO19" i="31"/>
  <c r="AO29" i="31"/>
  <c r="AO21" i="31"/>
  <c r="AO31" i="31"/>
  <c r="AO23" i="31"/>
  <c r="AO36" i="45"/>
  <c r="AO34" i="45"/>
  <c r="AO32" i="45"/>
  <c r="AO30" i="45"/>
  <c r="AO28" i="45"/>
  <c r="AO26" i="45"/>
  <c r="AO24" i="45"/>
  <c r="AO22" i="45"/>
  <c r="AO20" i="45"/>
  <c r="AO29" i="45"/>
  <c r="AO21" i="45"/>
  <c r="AO31" i="45"/>
  <c r="AO23" i="45"/>
  <c r="AO33" i="45"/>
  <c r="AO25" i="45"/>
  <c r="AO35" i="45"/>
  <c r="AO27" i="45"/>
  <c r="AO19" i="45"/>
  <c r="AO36" i="47"/>
  <c r="AO34" i="47"/>
  <c r="AO32" i="47"/>
  <c r="AO30" i="47"/>
  <c r="AO28" i="47"/>
  <c r="AO26" i="47"/>
  <c r="AO24" i="47"/>
  <c r="AO22" i="47"/>
  <c r="AO20" i="47"/>
  <c r="AO35" i="47"/>
  <c r="AO33" i="47"/>
  <c r="AO31" i="47"/>
  <c r="AO29" i="47"/>
  <c r="AO27" i="47"/>
  <c r="AO25" i="47"/>
  <c r="AO23" i="47"/>
  <c r="AO21" i="47"/>
  <c r="AO19" i="47"/>
  <c r="AO36" i="25"/>
  <c r="AO34" i="25"/>
  <c r="AO32" i="25"/>
  <c r="AO30" i="25"/>
  <c r="AO28" i="25"/>
  <c r="AO26" i="25"/>
  <c r="AO24" i="25"/>
  <c r="AO22" i="25"/>
  <c r="AO20" i="25"/>
  <c r="AO29" i="25"/>
  <c r="AO21" i="25"/>
  <c r="AO31" i="25"/>
  <c r="AO23" i="25"/>
  <c r="AO33" i="25"/>
  <c r="AO25" i="25"/>
  <c r="AO35" i="25"/>
  <c r="AO27" i="25"/>
  <c r="AO19" i="25"/>
  <c r="AO35" i="32"/>
  <c r="AO33" i="32"/>
  <c r="AO31" i="32"/>
  <c r="AO29" i="32"/>
  <c r="AO27" i="32"/>
  <c r="AO25" i="32"/>
  <c r="AO23" i="32"/>
  <c r="AO21" i="32"/>
  <c r="AO19" i="32"/>
  <c r="AO30" i="32"/>
  <c r="AO22" i="32"/>
  <c r="AO32" i="32"/>
  <c r="AO24" i="32"/>
  <c r="AO34" i="32"/>
  <c r="AO26" i="32"/>
  <c r="AO36" i="32"/>
  <c r="AO28" i="32"/>
  <c r="AO20" i="32"/>
  <c r="AO36" i="33"/>
  <c r="AO34" i="33"/>
  <c r="AO32" i="33"/>
  <c r="AO30" i="33"/>
  <c r="AO28" i="33"/>
  <c r="AO26" i="33"/>
  <c r="AO24" i="33"/>
  <c r="AO22" i="33"/>
  <c r="AO20" i="33"/>
  <c r="AO31" i="33"/>
  <c r="AO23" i="33"/>
  <c r="AO33" i="33"/>
  <c r="AO25" i="33"/>
  <c r="AO35" i="33"/>
  <c r="AO27" i="33"/>
  <c r="AO19" i="33"/>
  <c r="AO29" i="33"/>
  <c r="AO21" i="33"/>
  <c r="AO35" i="49"/>
  <c r="AO33" i="49"/>
  <c r="AO31" i="49"/>
  <c r="AO29" i="49"/>
  <c r="AO27" i="49"/>
  <c r="AO25" i="49"/>
  <c r="AO23" i="49"/>
  <c r="AO21" i="49"/>
  <c r="AO19" i="49"/>
  <c r="AO36" i="49"/>
  <c r="AO34" i="49"/>
  <c r="AO32" i="49"/>
  <c r="AO30" i="49"/>
  <c r="AO28" i="49"/>
  <c r="AO26" i="49"/>
  <c r="AO24" i="49"/>
  <c r="AO22" i="49"/>
  <c r="AO20" i="49"/>
  <c r="AO36" i="50"/>
  <c r="AO34" i="50"/>
  <c r="AO32" i="50"/>
  <c r="AO30" i="50"/>
  <c r="AO28" i="50"/>
  <c r="AO26" i="50"/>
  <c r="AO24" i="50"/>
  <c r="AO22" i="50"/>
  <c r="AO20" i="50"/>
  <c r="AO35" i="50"/>
  <c r="AO33" i="50"/>
  <c r="AO31" i="50"/>
  <c r="AO29" i="50"/>
  <c r="AO27" i="50"/>
  <c r="AO25" i="50"/>
  <c r="AO23" i="50"/>
  <c r="AO21" i="50"/>
  <c r="AO19" i="50"/>
  <c r="A21" i="51" l="1"/>
  <c r="D21" i="51"/>
  <c r="A27" i="51"/>
  <c r="D27" i="51"/>
  <c r="A31" i="51"/>
  <c r="D31" i="51"/>
  <c r="A29" i="51"/>
  <c r="D29" i="51"/>
  <c r="A35" i="51"/>
  <c r="D35" i="51"/>
  <c r="A25" i="51"/>
  <c r="D25" i="51"/>
  <c r="A33" i="51"/>
  <c r="D33" i="51"/>
  <c r="A20" i="51"/>
  <c r="D20" i="51"/>
  <c r="A22" i="51"/>
  <c r="D22" i="51"/>
  <c r="A24" i="51"/>
  <c r="D24" i="51"/>
  <c r="A26" i="51"/>
  <c r="D26" i="51"/>
  <c r="A28" i="51"/>
  <c r="D28" i="51"/>
  <c r="A30" i="51"/>
  <c r="D30" i="51"/>
  <c r="A32" i="51"/>
  <c r="D32" i="51"/>
  <c r="A34" i="51"/>
  <c r="D34" i="51"/>
  <c r="A36" i="51"/>
  <c r="D36" i="51"/>
  <c r="A23" i="51"/>
  <c r="D23" i="51"/>
  <c r="A19" i="51"/>
  <c r="D19" i="51"/>
  <c r="A36" i="49"/>
  <c r="D36" i="49"/>
  <c r="A25" i="49"/>
  <c r="D25" i="49"/>
  <c r="A23" i="49"/>
  <c r="D23" i="49"/>
  <c r="A29" i="49"/>
  <c r="D29" i="49"/>
  <c r="A27" i="49"/>
  <c r="D27" i="49"/>
  <c r="A33" i="49"/>
  <c r="D33" i="49"/>
  <c r="A21" i="49"/>
  <c r="D21" i="49"/>
  <c r="A31" i="49"/>
  <c r="D31" i="49"/>
  <c r="A35" i="49"/>
  <c r="D35" i="49"/>
  <c r="A22" i="49"/>
  <c r="D22" i="49"/>
  <c r="A26" i="49"/>
  <c r="D26" i="49"/>
  <c r="A20" i="49"/>
  <c r="D20" i="49"/>
  <c r="A30" i="49"/>
  <c r="D30" i="49"/>
  <c r="A24" i="49"/>
  <c r="D24" i="49"/>
  <c r="A34" i="49"/>
  <c r="D34" i="49"/>
  <c r="A28" i="49"/>
  <c r="D28" i="49"/>
  <c r="A32" i="49"/>
  <c r="D32" i="49"/>
  <c r="A19" i="49"/>
  <c r="D19" i="49"/>
  <c r="A25" i="48"/>
  <c r="D25" i="48"/>
  <c r="A31" i="48"/>
  <c r="D31" i="48"/>
  <c r="A29" i="48"/>
  <c r="D29" i="48"/>
  <c r="A35" i="48"/>
  <c r="D35" i="48"/>
  <c r="A33" i="48"/>
  <c r="D33" i="48"/>
  <c r="A22" i="48"/>
  <c r="D22" i="48"/>
  <c r="A26" i="48"/>
  <c r="D26" i="48"/>
  <c r="A36" i="48"/>
  <c r="D36" i="48"/>
  <c r="A20" i="48"/>
  <c r="D20" i="48"/>
  <c r="A30" i="48"/>
  <c r="D30" i="48"/>
  <c r="A23" i="48"/>
  <c r="D23" i="48"/>
  <c r="A24" i="48"/>
  <c r="D24" i="48"/>
  <c r="A34" i="48"/>
  <c r="D34" i="48"/>
  <c r="A27" i="48"/>
  <c r="D27" i="48"/>
  <c r="A28" i="48"/>
  <c r="D28" i="48"/>
  <c r="A21" i="48"/>
  <c r="D21" i="48"/>
  <c r="A32" i="48"/>
  <c r="D32" i="48"/>
  <c r="A19" i="48"/>
  <c r="D19" i="48"/>
  <c r="A21" i="46"/>
  <c r="D21" i="46"/>
  <c r="A25" i="46"/>
  <c r="D25" i="46"/>
  <c r="A23" i="46"/>
  <c r="D23" i="46"/>
  <c r="A29" i="46"/>
  <c r="D29" i="46"/>
  <c r="A27" i="46"/>
  <c r="D27" i="46"/>
  <c r="A33" i="46"/>
  <c r="D33" i="46"/>
  <c r="A31" i="46"/>
  <c r="D31" i="46"/>
  <c r="A35" i="46"/>
  <c r="D35" i="46"/>
  <c r="A20" i="46"/>
  <c r="D20" i="46"/>
  <c r="A22" i="46"/>
  <c r="D22" i="46"/>
  <c r="A24" i="46"/>
  <c r="D24" i="46"/>
  <c r="A34" i="46"/>
  <c r="D34" i="46"/>
  <c r="A26" i="46"/>
  <c r="D26" i="46"/>
  <c r="A28" i="46"/>
  <c r="D28" i="46"/>
  <c r="A36" i="46"/>
  <c r="D36" i="46"/>
  <c r="A30" i="46"/>
  <c r="D30" i="46"/>
  <c r="A32" i="46"/>
  <c r="D32" i="46"/>
  <c r="A19" i="46"/>
  <c r="D19" i="46"/>
  <c r="A36" i="45"/>
  <c r="D36" i="45"/>
  <c r="A29" i="45"/>
  <c r="D29" i="45"/>
  <c r="A25" i="45"/>
  <c r="D25" i="45"/>
  <c r="A30" i="45"/>
  <c r="D30" i="45"/>
  <c r="A27" i="45"/>
  <c r="D27" i="45"/>
  <c r="A26" i="45"/>
  <c r="D26" i="45"/>
  <c r="A33" i="45"/>
  <c r="D33" i="45"/>
  <c r="A32" i="45"/>
  <c r="D32" i="45"/>
  <c r="A22" i="45"/>
  <c r="D22" i="45"/>
  <c r="A35" i="45"/>
  <c r="D35" i="45"/>
  <c r="A21" i="45"/>
  <c r="D21" i="45"/>
  <c r="A28" i="45"/>
  <c r="D28" i="45"/>
  <c r="A34" i="45"/>
  <c r="D34" i="45"/>
  <c r="A20" i="45"/>
  <c r="D20" i="45"/>
  <c r="A24" i="45"/>
  <c r="D24" i="45"/>
  <c r="A23" i="45"/>
  <c r="D23" i="45"/>
  <c r="A31" i="45"/>
  <c r="D31" i="45"/>
  <c r="A19" i="45"/>
  <c r="D19" i="45"/>
  <c r="A34" i="44"/>
  <c r="D34" i="44"/>
  <c r="A33" i="44"/>
  <c r="D33" i="44"/>
  <c r="A28" i="44"/>
  <c r="D28" i="44"/>
  <c r="A36" i="44"/>
  <c r="D36" i="44"/>
  <c r="A23" i="44"/>
  <c r="D23" i="44"/>
  <c r="A22" i="44"/>
  <c r="D22" i="44"/>
  <c r="A27" i="44"/>
  <c r="D27" i="44"/>
  <c r="A30" i="44"/>
  <c r="D30" i="44"/>
  <c r="A31" i="44"/>
  <c r="D31" i="44"/>
  <c r="A20" i="44"/>
  <c r="D20" i="44"/>
  <c r="A35" i="44"/>
  <c r="D35" i="44"/>
  <c r="A24" i="44"/>
  <c r="D24" i="44"/>
  <c r="A32" i="44"/>
  <c r="D32" i="44"/>
  <c r="A21" i="44"/>
  <c r="D21" i="44"/>
  <c r="A25" i="44"/>
  <c r="D25" i="44"/>
  <c r="A26" i="44"/>
  <c r="D26" i="44"/>
  <c r="A29" i="44"/>
  <c r="D29" i="44"/>
  <c r="A19" i="44"/>
  <c r="D19" i="44"/>
  <c r="A33" i="43"/>
  <c r="D33" i="43"/>
  <c r="A23" i="43"/>
  <c r="D23" i="43"/>
  <c r="A29" i="43"/>
  <c r="D29" i="43"/>
  <c r="A31" i="43"/>
  <c r="D31" i="43"/>
  <c r="A35" i="43"/>
  <c r="D35" i="43"/>
  <c r="A22" i="43"/>
  <c r="D22" i="43"/>
  <c r="A26" i="43"/>
  <c r="D26" i="43"/>
  <c r="A20" i="43"/>
  <c r="D20" i="43"/>
  <c r="A30" i="43"/>
  <c r="D30" i="43"/>
  <c r="A24" i="43"/>
  <c r="D24" i="43"/>
  <c r="A34" i="43"/>
  <c r="D34" i="43"/>
  <c r="A28" i="43"/>
  <c r="D28" i="43"/>
  <c r="A27" i="43"/>
  <c r="D27" i="43"/>
  <c r="A32" i="43"/>
  <c r="D32" i="43"/>
  <c r="A36" i="43"/>
  <c r="D36" i="43"/>
  <c r="A21" i="43"/>
  <c r="D21" i="43"/>
  <c r="A25" i="43"/>
  <c r="D25" i="43"/>
  <c r="A19" i="43"/>
  <c r="D19" i="43"/>
  <c r="AB19" i="43" s="1"/>
  <c r="A36" i="33"/>
  <c r="D36" i="33"/>
  <c r="A23" i="33"/>
  <c r="D23" i="33"/>
  <c r="A25" i="33"/>
  <c r="D25" i="33"/>
  <c r="A31" i="33"/>
  <c r="D31" i="33"/>
  <c r="A21" i="33"/>
  <c r="D21" i="33"/>
  <c r="A29" i="33"/>
  <c r="D29" i="33"/>
  <c r="A35" i="33"/>
  <c r="D35" i="33"/>
  <c r="A33" i="33"/>
  <c r="D33" i="33"/>
  <c r="A22" i="33"/>
  <c r="D22" i="33"/>
  <c r="A26" i="33"/>
  <c r="D26" i="33"/>
  <c r="A27" i="33"/>
  <c r="D27" i="33"/>
  <c r="A20" i="33"/>
  <c r="D20" i="33"/>
  <c r="A30" i="33"/>
  <c r="D30" i="33"/>
  <c r="A24" i="33"/>
  <c r="D24" i="33"/>
  <c r="A34" i="33"/>
  <c r="D34" i="33"/>
  <c r="A28" i="33"/>
  <c r="D28" i="33"/>
  <c r="A32" i="33"/>
  <c r="D32" i="33"/>
  <c r="A19" i="33"/>
  <c r="D19" i="33"/>
  <c r="A33" i="32"/>
  <c r="D33" i="32"/>
  <c r="A20" i="32"/>
  <c r="D20" i="32"/>
  <c r="A22" i="32"/>
  <c r="D22" i="32"/>
  <c r="A24" i="32"/>
  <c r="D24" i="32"/>
  <c r="A26" i="32"/>
  <c r="D26" i="32"/>
  <c r="A28" i="32"/>
  <c r="D28" i="32"/>
  <c r="A30" i="32"/>
  <c r="D30" i="32"/>
  <c r="A32" i="32"/>
  <c r="D32" i="32"/>
  <c r="A34" i="32"/>
  <c r="D34" i="32"/>
  <c r="A36" i="32"/>
  <c r="D36" i="32"/>
  <c r="A23" i="32"/>
  <c r="D23" i="32"/>
  <c r="A21" i="32"/>
  <c r="D21" i="32"/>
  <c r="A27" i="32"/>
  <c r="D27" i="32"/>
  <c r="A25" i="32"/>
  <c r="D25" i="32"/>
  <c r="A31" i="32"/>
  <c r="D31" i="32"/>
  <c r="A29" i="32"/>
  <c r="D29" i="32"/>
  <c r="A35" i="32"/>
  <c r="D35" i="32"/>
  <c r="A19" i="32"/>
  <c r="D19" i="32"/>
  <c r="A22" i="31"/>
  <c r="D22" i="31"/>
  <c r="A24" i="31"/>
  <c r="D24" i="31"/>
  <c r="A30" i="31"/>
  <c r="D30" i="31"/>
  <c r="A32" i="31"/>
  <c r="D32" i="31"/>
  <c r="A34" i="31"/>
  <c r="D34" i="31"/>
  <c r="A36" i="31"/>
  <c r="D36" i="31"/>
  <c r="A26" i="31"/>
  <c r="D26" i="31"/>
  <c r="A21" i="31"/>
  <c r="D21" i="31"/>
  <c r="A25" i="31"/>
  <c r="D25" i="31"/>
  <c r="A23" i="31"/>
  <c r="D23" i="31"/>
  <c r="A29" i="31"/>
  <c r="D29" i="31"/>
  <c r="A27" i="31"/>
  <c r="D27" i="31"/>
  <c r="A33" i="31"/>
  <c r="D33" i="31"/>
  <c r="A31" i="31"/>
  <c r="D31" i="31"/>
  <c r="A35" i="31"/>
  <c r="D35" i="31"/>
  <c r="A28" i="31"/>
  <c r="D28" i="31"/>
  <c r="A20" i="31"/>
  <c r="D20" i="31"/>
  <c r="A19" i="31"/>
  <c r="D19" i="31"/>
  <c r="A32" i="30"/>
  <c r="D32" i="30"/>
  <c r="A25" i="30"/>
  <c r="D25" i="30"/>
  <c r="A23" i="30"/>
  <c r="D23" i="30"/>
  <c r="A29" i="30"/>
  <c r="D29" i="30"/>
  <c r="A27" i="30"/>
  <c r="D27" i="30"/>
  <c r="A33" i="30"/>
  <c r="D33" i="30"/>
  <c r="A36" i="30"/>
  <c r="D36" i="30"/>
  <c r="A21" i="30"/>
  <c r="D21" i="30"/>
  <c r="A35" i="30"/>
  <c r="D35" i="30"/>
  <c r="A22" i="30"/>
  <c r="D22" i="30"/>
  <c r="A26" i="30"/>
  <c r="D26" i="30"/>
  <c r="A31" i="30"/>
  <c r="D31" i="30"/>
  <c r="A20" i="30"/>
  <c r="D20" i="30"/>
  <c r="A30" i="30"/>
  <c r="D30" i="30"/>
  <c r="A24" i="30"/>
  <c r="D24" i="30"/>
  <c r="A34" i="30"/>
  <c r="D34" i="30"/>
  <c r="A28" i="30"/>
  <c r="D28" i="30"/>
  <c r="A19" i="30"/>
  <c r="D19" i="30"/>
  <c r="A27" i="29"/>
  <c r="D27" i="29"/>
  <c r="A36" i="29"/>
  <c r="D36" i="29"/>
  <c r="A21" i="29"/>
  <c r="D21" i="29"/>
  <c r="A29" i="29"/>
  <c r="D29" i="29"/>
  <c r="A22" i="29"/>
  <c r="D22" i="29"/>
  <c r="A23" i="29"/>
  <c r="D23" i="29"/>
  <c r="A26" i="29"/>
  <c r="D26" i="29"/>
  <c r="A33" i="29"/>
  <c r="D33" i="29"/>
  <c r="A31" i="29"/>
  <c r="D31" i="29"/>
  <c r="A30" i="29"/>
  <c r="D30" i="29"/>
  <c r="A25" i="29"/>
  <c r="D25" i="29"/>
  <c r="A34" i="29"/>
  <c r="D34" i="29"/>
  <c r="A35" i="29"/>
  <c r="D35" i="29"/>
  <c r="A20" i="29"/>
  <c r="D20" i="29"/>
  <c r="A24" i="29"/>
  <c r="D24" i="29"/>
  <c r="A28" i="29"/>
  <c r="D28" i="29"/>
  <c r="A32" i="29"/>
  <c r="D32" i="29"/>
  <c r="A19" i="29"/>
  <c r="D19" i="29"/>
  <c r="A26" i="28"/>
  <c r="D26" i="28"/>
  <c r="A36" i="28"/>
  <c r="D36" i="28"/>
  <c r="A23" i="28"/>
  <c r="D23" i="28"/>
  <c r="A22" i="28"/>
  <c r="D22" i="28"/>
  <c r="A28" i="28"/>
  <c r="D28" i="28"/>
  <c r="A27" i="28"/>
  <c r="D27" i="28"/>
  <c r="A31" i="28"/>
  <c r="D31" i="28"/>
  <c r="A34" i="28"/>
  <c r="D34" i="28"/>
  <c r="A32" i="28"/>
  <c r="D32" i="28"/>
  <c r="A21" i="28"/>
  <c r="D21" i="28"/>
  <c r="A24" i="28"/>
  <c r="D24" i="28"/>
  <c r="A25" i="28"/>
  <c r="D25" i="28"/>
  <c r="A30" i="28"/>
  <c r="D30" i="28"/>
  <c r="A29" i="28"/>
  <c r="D29" i="28"/>
  <c r="A35" i="28"/>
  <c r="D35" i="28"/>
  <c r="A33" i="28"/>
  <c r="D33" i="28"/>
  <c r="A20" i="28"/>
  <c r="D20" i="28"/>
  <c r="A19" i="28"/>
  <c r="D19" i="28"/>
  <c r="A30" i="27"/>
  <c r="D30" i="27"/>
  <c r="A32" i="27"/>
  <c r="D32" i="27"/>
  <c r="A21" i="27"/>
  <c r="D21" i="27"/>
  <c r="A31" i="27"/>
  <c r="D31" i="27"/>
  <c r="A29" i="27"/>
  <c r="D29" i="27"/>
  <c r="A28" i="27"/>
  <c r="D28" i="27"/>
  <c r="A22" i="27"/>
  <c r="D22" i="27"/>
  <c r="A33" i="27"/>
  <c r="D33" i="27"/>
  <c r="A25" i="27"/>
  <c r="D25" i="27"/>
  <c r="A23" i="27"/>
  <c r="D23" i="27"/>
  <c r="A34" i="27"/>
  <c r="D34" i="27"/>
  <c r="A26" i="27"/>
  <c r="D26" i="27"/>
  <c r="A20" i="27"/>
  <c r="D20" i="27"/>
  <c r="A27" i="27"/>
  <c r="D27" i="27"/>
  <c r="A36" i="27"/>
  <c r="D36" i="27"/>
  <c r="A35" i="27"/>
  <c r="D35" i="27"/>
  <c r="A24" i="27"/>
  <c r="D24" i="27"/>
  <c r="A19" i="27"/>
  <c r="D19" i="27"/>
  <c r="A26" i="26"/>
  <c r="D26" i="26"/>
  <c r="A28" i="26"/>
  <c r="D28" i="26"/>
  <c r="A34" i="26"/>
  <c r="D34" i="26"/>
  <c r="A36" i="26"/>
  <c r="D36" i="26"/>
  <c r="A21" i="26"/>
  <c r="D21" i="26"/>
  <c r="A30" i="26"/>
  <c r="D30" i="26"/>
  <c r="A25" i="26"/>
  <c r="D25" i="26"/>
  <c r="A23" i="26"/>
  <c r="D23" i="26"/>
  <c r="A29" i="26"/>
  <c r="D29" i="26"/>
  <c r="A27" i="26"/>
  <c r="D27" i="26"/>
  <c r="A33" i="26"/>
  <c r="D33" i="26"/>
  <c r="A31" i="26"/>
  <c r="D31" i="26"/>
  <c r="A32" i="26"/>
  <c r="D32" i="26"/>
  <c r="A35" i="26"/>
  <c r="D35" i="26"/>
  <c r="A20" i="26"/>
  <c r="D20" i="26"/>
  <c r="A22" i="26"/>
  <c r="D22" i="26"/>
  <c r="A24" i="26"/>
  <c r="D24" i="26"/>
  <c r="A19" i="26"/>
  <c r="D19" i="26"/>
  <c r="AB19" i="26" s="1"/>
  <c r="A20" i="25"/>
  <c r="D20" i="25"/>
  <c r="A34" i="25"/>
  <c r="D34" i="25"/>
  <c r="A28" i="25"/>
  <c r="D28" i="25"/>
  <c r="A32" i="25"/>
  <c r="D32" i="25"/>
  <c r="A36" i="25"/>
  <c r="D36" i="25"/>
  <c r="A21" i="25"/>
  <c r="D21" i="25"/>
  <c r="A25" i="25"/>
  <c r="D25" i="25"/>
  <c r="A29" i="25"/>
  <c r="D29" i="25"/>
  <c r="A23" i="25"/>
  <c r="D23" i="25"/>
  <c r="A33" i="25"/>
  <c r="D33" i="25"/>
  <c r="A24" i="25"/>
  <c r="D24" i="25"/>
  <c r="A27" i="25"/>
  <c r="D27" i="25"/>
  <c r="A31" i="25"/>
  <c r="D31" i="25"/>
  <c r="A22" i="25"/>
  <c r="D22" i="25"/>
  <c r="A35" i="25"/>
  <c r="D35" i="25"/>
  <c r="A26" i="25"/>
  <c r="D26" i="25"/>
  <c r="A30" i="25"/>
  <c r="D30" i="25"/>
  <c r="A19" i="54"/>
  <c r="D19" i="54"/>
  <c r="A19" i="25"/>
  <c r="X36" i="25" a="1"/>
  <c r="X36" i="25" s="1"/>
  <c r="X36" i="43" a="1"/>
  <c r="X36" i="43" s="1"/>
  <c r="X36" i="51" a="1"/>
  <c r="X36" i="51" s="1"/>
  <c r="X35" i="26" a="1"/>
  <c r="X35" i="26" s="1"/>
  <c r="X35" i="46" a="1"/>
  <c r="X35" i="46" s="1"/>
  <c r="X35" i="43" a="1"/>
  <c r="X35" i="43" s="1"/>
  <c r="X35" i="32" a="1"/>
  <c r="X35" i="32" s="1"/>
  <c r="X34" i="43" a="1"/>
  <c r="X34" i="43" s="1"/>
  <c r="X34" i="26" a="1"/>
  <c r="X34" i="26" s="1"/>
  <c r="X34" i="46" a="1"/>
  <c r="X34" i="46" s="1"/>
  <c r="X34" i="51" a="1"/>
  <c r="X34" i="51" s="1"/>
  <c r="X33" i="26" a="1"/>
  <c r="X33" i="26" s="1"/>
  <c r="X33" i="51" a="1"/>
  <c r="X33" i="51" s="1"/>
  <c r="X32" i="43" a="1"/>
  <c r="X32" i="43" s="1"/>
  <c r="X32" i="29" a="1"/>
  <c r="X32" i="29" s="1"/>
  <c r="X32" i="28" a="1"/>
  <c r="X32" i="28" s="1"/>
  <c r="X32" i="45" a="1"/>
  <c r="X32" i="45" s="1"/>
  <c r="X32" i="51" a="1"/>
  <c r="X32" i="51" s="1"/>
  <c r="I32" i="27"/>
  <c r="AK32" i="27" s="1"/>
  <c r="K32" i="27" s="1" a="1"/>
  <c r="K32" i="27" s="1"/>
  <c r="X31" i="31" a="1"/>
  <c r="X31" i="31" s="1"/>
  <c r="X31" i="43" a="1"/>
  <c r="X31" i="43" s="1"/>
  <c r="X30" i="43" a="1"/>
  <c r="X30" i="43" s="1"/>
  <c r="X29" i="30" a="1"/>
  <c r="X29" i="30" s="1"/>
  <c r="X29" i="51" a="1"/>
  <c r="X29" i="51" s="1"/>
  <c r="I29" i="45"/>
  <c r="AK29" i="45" s="1"/>
  <c r="K29" i="45" s="1" a="1"/>
  <c r="K29" i="45" s="1"/>
  <c r="X28" i="26" a="1"/>
  <c r="X28" i="26" s="1"/>
  <c r="X28" i="45" a="1"/>
  <c r="X28" i="45" s="1"/>
  <c r="X28" i="51" a="1"/>
  <c r="X28" i="51" s="1"/>
  <c r="X28" i="29" a="1"/>
  <c r="X28" i="29" s="1"/>
  <c r="X27" i="26" a="1"/>
  <c r="X27" i="26" s="1"/>
  <c r="X27" i="31" a="1"/>
  <c r="X27" i="31" s="1"/>
  <c r="X27" i="49" a="1"/>
  <c r="X27" i="49" s="1"/>
  <c r="X26" i="46" a="1"/>
  <c r="X26" i="46" s="1"/>
  <c r="X26" i="45" a="1"/>
  <c r="X26" i="45" s="1"/>
  <c r="X25" i="48" a="1"/>
  <c r="X25" i="48" s="1"/>
  <c r="X25" i="32" a="1"/>
  <c r="X25" i="32" s="1"/>
  <c r="X25" i="33" a="1"/>
  <c r="X25" i="33" s="1"/>
  <c r="X25" i="25" a="1"/>
  <c r="X25" i="25" s="1"/>
  <c r="X25" i="51" a="1"/>
  <c r="X25" i="51" s="1"/>
  <c r="I25" i="45"/>
  <c r="AK25" i="45" s="1"/>
  <c r="K25" i="45" s="1" a="1"/>
  <c r="K25" i="45" s="1"/>
  <c r="X24" i="51" a="1"/>
  <c r="X24" i="51" s="1"/>
  <c r="X23" i="43" a="1"/>
  <c r="X23" i="43" s="1"/>
  <c r="X23" i="30" a="1"/>
  <c r="X23" i="30" s="1"/>
  <c r="X23" i="32" a="1"/>
  <c r="X23" i="32" s="1"/>
  <c r="X23" i="26" a="1"/>
  <c r="X23" i="26" s="1"/>
  <c r="X22" i="49" a="1"/>
  <c r="X22" i="49" s="1"/>
  <c r="X21" i="51" a="1"/>
  <c r="X21" i="51" s="1"/>
  <c r="X21" i="32" a="1"/>
  <c r="X21" i="32" s="1"/>
  <c r="X21" i="30" a="1"/>
  <c r="X21" i="30" s="1"/>
  <c r="X21" i="43" a="1"/>
  <c r="X21" i="43" s="1"/>
  <c r="X20" i="51" a="1"/>
  <c r="X20" i="51" s="1"/>
  <c r="X20" i="26" a="1"/>
  <c r="X20" i="26" s="1"/>
  <c r="X20" i="27" a="1"/>
  <c r="X20" i="27" s="1"/>
  <c r="X20" i="25" a="1"/>
  <c r="X20" i="25" s="1"/>
  <c r="X19" i="51" a="1"/>
  <c r="X19" i="51" s="1"/>
  <c r="X19" i="32" a="1"/>
  <c r="X19" i="32" s="1"/>
  <c r="X19" i="46" a="1"/>
  <c r="X19" i="46" s="1"/>
  <c r="X19" i="26" a="1"/>
  <c r="X19" i="26" s="1"/>
  <c r="X19" i="43" a="1"/>
  <c r="X19" i="43" s="1"/>
  <c r="B7" i="53"/>
  <c r="O7" i="53" s="1" a="1"/>
  <c r="O7" i="53" s="1"/>
  <c r="X30" i="25" a="1"/>
  <c r="X30" i="25" s="1"/>
  <c r="S25" i="25" a="1"/>
  <c r="S25" i="25" s="1"/>
  <c r="S21" i="25" a="1"/>
  <c r="S21" i="25" s="1"/>
  <c r="B35" i="54"/>
  <c r="B32" i="54"/>
  <c r="B36" i="54"/>
  <c r="B21" i="54"/>
  <c r="B23" i="54"/>
  <c r="B26" i="54"/>
  <c r="B20" i="54"/>
  <c r="B28" i="54"/>
  <c r="B33" i="54"/>
  <c r="B34" i="54"/>
  <c r="B29" i="54"/>
  <c r="B31" i="54"/>
  <c r="B22" i="54"/>
  <c r="I19" i="54"/>
  <c r="X19" i="54" a="1"/>
  <c r="X19" i="54" s="1"/>
  <c r="S19" i="54" a="1"/>
  <c r="S19" i="54" s="1"/>
  <c r="B27" i="54"/>
  <c r="B25" i="54"/>
  <c r="B30" i="54"/>
  <c r="B24" i="54"/>
  <c r="B25" i="20"/>
  <c r="B32" i="20"/>
  <c r="B36" i="20"/>
  <c r="B34" i="20"/>
  <c r="B26" i="20"/>
  <c r="B30" i="20"/>
  <c r="B23" i="20"/>
  <c r="B33" i="20"/>
  <c r="B31" i="20"/>
  <c r="B20" i="20"/>
  <c r="B21" i="20"/>
  <c r="B24" i="20"/>
  <c r="B29" i="20"/>
  <c r="B28" i="20"/>
  <c r="B22" i="20"/>
  <c r="B19" i="20"/>
  <c r="B35" i="20"/>
  <c r="B27" i="20"/>
  <c r="S23" i="28" a="1"/>
  <c r="S23" i="28" s="1"/>
  <c r="S21" i="49" a="1"/>
  <c r="S21" i="49" s="1"/>
  <c r="S22" i="28" a="1"/>
  <c r="S22" i="28" s="1"/>
  <c r="S24" i="49" a="1"/>
  <c r="S24" i="49" s="1"/>
  <c r="S24" i="25" a="1"/>
  <c r="S24" i="25" s="1"/>
  <c r="S29" i="27" a="1"/>
  <c r="S29" i="27" s="1"/>
  <c r="S32" i="33" a="1"/>
  <c r="S32" i="33" s="1"/>
  <c r="S20" i="30" a="1"/>
  <c r="S20" i="30" s="1"/>
  <c r="S25" i="28" a="1"/>
  <c r="S25" i="28" s="1"/>
  <c r="S34" i="28" a="1"/>
  <c r="S34" i="28" s="1"/>
  <c r="S30" i="49" a="1"/>
  <c r="S30" i="49" s="1"/>
  <c r="S36" i="28" a="1"/>
  <c r="S36" i="28" s="1"/>
  <c r="S25" i="30" a="1"/>
  <c r="S25" i="30" s="1"/>
  <c r="I28" i="27"/>
  <c r="AG28" i="27" s="1"/>
  <c r="F28" i="27" s="1" a="1"/>
  <c r="F28" i="27" s="1"/>
  <c r="S23" i="49" a="1"/>
  <c r="S23" i="49" s="1"/>
  <c r="S24" i="28" a="1"/>
  <c r="S24" i="28" s="1"/>
  <c r="S26" i="30" a="1"/>
  <c r="S26" i="30" s="1"/>
  <c r="S31" i="30" a="1"/>
  <c r="S31" i="30" s="1"/>
  <c r="S27" i="45" a="1"/>
  <c r="S27" i="45" s="1"/>
  <c r="S23" i="33" a="1"/>
  <c r="S23" i="33" s="1"/>
  <c r="S24" i="32" a="1"/>
  <c r="S24" i="32" s="1"/>
  <c r="S27" i="31" a="1"/>
  <c r="S27" i="31" s="1"/>
  <c r="S20" i="31" a="1"/>
  <c r="S20" i="31" s="1"/>
  <c r="S36" i="31" a="1"/>
  <c r="S36" i="31" s="1"/>
  <c r="S31" i="43" a="1"/>
  <c r="S31" i="43" s="1"/>
  <c r="S28" i="26" a="1"/>
  <c r="S28" i="26" s="1"/>
  <c r="S19" i="26" a="1"/>
  <c r="S19" i="26" s="1"/>
  <c r="S35" i="26" a="1"/>
  <c r="S35" i="26" s="1"/>
  <c r="S34" i="51" a="1"/>
  <c r="S34" i="51" s="1"/>
  <c r="S27" i="46" a="1"/>
  <c r="S27" i="46" s="1"/>
  <c r="S25" i="45" a="1"/>
  <c r="S25" i="45" s="1"/>
  <c r="X30" i="45" a="1"/>
  <c r="X30" i="45" s="1"/>
  <c r="S19" i="33" a="1"/>
  <c r="S19" i="33" s="1"/>
  <c r="S31" i="25" a="1"/>
  <c r="S31" i="25" s="1"/>
  <c r="S22" i="25" a="1"/>
  <c r="S22" i="25" s="1"/>
  <c r="S23" i="51" a="1"/>
  <c r="S23" i="51" s="1"/>
  <c r="X22" i="25" a="1"/>
  <c r="X22" i="25" s="1"/>
  <c r="I27" i="45"/>
  <c r="X27" i="45" a="1"/>
  <c r="X27" i="45" s="1"/>
  <c r="S21" i="33" a="1"/>
  <c r="S21" i="33" s="1"/>
  <c r="S34" i="33" a="1"/>
  <c r="S34" i="33" s="1"/>
  <c r="S29" i="32" a="1"/>
  <c r="S29" i="32" s="1"/>
  <c r="S33" i="25" a="1"/>
  <c r="S33" i="25" s="1"/>
  <c r="S19" i="45" a="1"/>
  <c r="S19" i="45" s="1"/>
  <c r="S21" i="31" a="1"/>
  <c r="S21" i="31" s="1"/>
  <c r="S22" i="31" a="1"/>
  <c r="S22" i="31" s="1"/>
  <c r="S22" i="43" a="1"/>
  <c r="S22" i="43" s="1"/>
  <c r="S25" i="43" a="1"/>
  <c r="S25" i="43" s="1"/>
  <c r="S29" i="25" a="1"/>
  <c r="S29" i="25" s="1"/>
  <c r="S26" i="25" a="1"/>
  <c r="S26" i="25" s="1"/>
  <c r="S20" i="51" a="1"/>
  <c r="S20" i="51" s="1"/>
  <c r="S36" i="51" a="1"/>
  <c r="S36" i="51" s="1"/>
  <c r="S25" i="51" a="1"/>
  <c r="S25" i="51" s="1"/>
  <c r="S29" i="46" a="1"/>
  <c r="S29" i="46" s="1"/>
  <c r="S19" i="25" a="1"/>
  <c r="S19" i="25" s="1"/>
  <c r="S20" i="33" a="1"/>
  <c r="S20" i="33" s="1"/>
  <c r="S36" i="33" a="1"/>
  <c r="S36" i="33" s="1"/>
  <c r="S22" i="32" a="1"/>
  <c r="S22" i="32" s="1"/>
  <c r="S31" i="32" a="1"/>
  <c r="S31" i="32" s="1"/>
  <c r="S28" i="25" a="1"/>
  <c r="S28" i="25" s="1"/>
  <c r="S34" i="43" a="1"/>
  <c r="S34" i="43" s="1"/>
  <c r="S26" i="26" a="1"/>
  <c r="S26" i="26" s="1"/>
  <c r="S27" i="51" a="1"/>
  <c r="S27" i="51" s="1"/>
  <c r="S34" i="46" a="1"/>
  <c r="S34" i="46" s="1"/>
  <c r="S34" i="48" a="1"/>
  <c r="S34" i="48" s="1"/>
  <c r="S23" i="48" a="1"/>
  <c r="S23" i="48" s="1"/>
  <c r="S35" i="27" a="1"/>
  <c r="S35" i="27" s="1"/>
  <c r="S33" i="33" a="1"/>
  <c r="S33" i="33" s="1"/>
  <c r="S30" i="33" a="1"/>
  <c r="S30" i="33" s="1"/>
  <c r="S25" i="32" a="1"/>
  <c r="S25" i="32" s="1"/>
  <c r="S35" i="25" a="1"/>
  <c r="S35" i="25" s="1"/>
  <c r="S30" i="45" a="1"/>
  <c r="S30" i="45" s="1"/>
  <c r="S33" i="31" a="1"/>
  <c r="S33" i="31" s="1"/>
  <c r="S34" i="31" a="1"/>
  <c r="S34" i="31" s="1"/>
  <c r="S24" i="43" a="1"/>
  <c r="S24" i="43" s="1"/>
  <c r="S21" i="43" a="1"/>
  <c r="S21" i="43" s="1"/>
  <c r="S25" i="26" a="1"/>
  <c r="S25" i="26" s="1"/>
  <c r="S20" i="46" a="1"/>
  <c r="S20" i="46" s="1"/>
  <c r="S36" i="46" a="1"/>
  <c r="S36" i="46" s="1"/>
  <c r="S28" i="27" a="1"/>
  <c r="S28" i="27" s="1"/>
  <c r="S36" i="27" a="1"/>
  <c r="S36" i="27" s="1"/>
  <c r="S20" i="49" a="1"/>
  <c r="S20" i="49" s="1"/>
  <c r="S36" i="49" a="1"/>
  <c r="S36" i="49" s="1"/>
  <c r="S33" i="49" a="1"/>
  <c r="S33" i="49" s="1"/>
  <c r="S34" i="49" a="1"/>
  <c r="S34" i="49" s="1"/>
  <c r="S26" i="32" a="1"/>
  <c r="S26" i="32" s="1"/>
  <c r="S23" i="25" a="1"/>
  <c r="S23" i="25" s="1"/>
  <c r="S24" i="31" a="1"/>
  <c r="S24" i="31" s="1"/>
  <c r="S19" i="43" a="1"/>
  <c r="S19" i="43" s="1"/>
  <c r="S35" i="43" a="1"/>
  <c r="S35" i="43" s="1"/>
  <c r="S30" i="26" a="1"/>
  <c r="S30" i="26" s="1"/>
  <c r="S23" i="26" a="1"/>
  <c r="S23" i="26" s="1"/>
  <c r="S22" i="51" a="1"/>
  <c r="S22" i="51" s="1"/>
  <c r="S30" i="25" a="1"/>
  <c r="S30" i="25" s="1"/>
  <c r="S22" i="45" a="1"/>
  <c r="S22" i="45" s="1"/>
  <c r="S24" i="51" a="1"/>
  <c r="S24" i="51" s="1"/>
  <c r="S29" i="51" a="1"/>
  <c r="S29" i="51" s="1"/>
  <c r="S22" i="46" a="1"/>
  <c r="S22" i="46" s="1"/>
  <c r="S33" i="46" a="1"/>
  <c r="S33" i="46" s="1"/>
  <c r="S19" i="49" a="1"/>
  <c r="S19" i="49" s="1"/>
  <c r="S35" i="49" a="1"/>
  <c r="S35" i="49" s="1"/>
  <c r="S30" i="32" a="1"/>
  <c r="S30" i="32" s="1"/>
  <c r="S33" i="32" a="1"/>
  <c r="S33" i="32" s="1"/>
  <c r="S35" i="45" a="1"/>
  <c r="S35" i="45" s="1"/>
  <c r="S20" i="29" a="1"/>
  <c r="S20" i="29" s="1"/>
  <c r="S36" i="29" a="1"/>
  <c r="S36" i="29" s="1"/>
  <c r="S26" i="44" a="1"/>
  <c r="S26" i="44" s="1"/>
  <c r="S29" i="44" a="1"/>
  <c r="S29" i="44" s="1"/>
  <c r="S22" i="33" a="1"/>
  <c r="S22" i="33" s="1"/>
  <c r="S31" i="49" a="1"/>
  <c r="S31" i="49" s="1"/>
  <c r="S29" i="33" a="1"/>
  <c r="S29" i="33" s="1"/>
  <c r="S23" i="45" a="1"/>
  <c r="S23" i="45" s="1"/>
  <c r="S20" i="45" a="1"/>
  <c r="S20" i="45" s="1"/>
  <c r="S29" i="31" a="1"/>
  <c r="S29" i="31" s="1"/>
  <c r="S32" i="31" a="1"/>
  <c r="S32" i="31" s="1"/>
  <c r="S30" i="43" a="1"/>
  <c r="S30" i="43" s="1"/>
  <c r="S27" i="43" a="1"/>
  <c r="S27" i="43" s="1"/>
  <c r="S31" i="26" a="1"/>
  <c r="S31" i="26" s="1"/>
  <c r="S30" i="51" a="1"/>
  <c r="S30" i="51" s="1"/>
  <c r="S32" i="46" a="1"/>
  <c r="S32" i="46" s="1"/>
  <c r="S23" i="46" a="1"/>
  <c r="S23" i="46" s="1"/>
  <c r="S23" i="31" a="1"/>
  <c r="S23" i="31" s="1"/>
  <c r="S20" i="43" a="1"/>
  <c r="S20" i="43" s="1"/>
  <c r="S24" i="26" a="1"/>
  <c r="S24" i="26" s="1"/>
  <c r="S32" i="51" a="1"/>
  <c r="S32" i="51" s="1"/>
  <c r="S21" i="51" a="1"/>
  <c r="S21" i="51" s="1"/>
  <c r="S25" i="46" a="1"/>
  <c r="S25" i="46" s="1"/>
  <c r="S20" i="27" a="1"/>
  <c r="S20" i="27" s="1"/>
  <c r="S26" i="45" a="1"/>
  <c r="S26" i="45" s="1"/>
  <c r="S34" i="45" a="1"/>
  <c r="S34" i="45" s="1"/>
  <c r="S30" i="31" a="1"/>
  <c r="S30" i="31" s="1"/>
  <c r="S36" i="43" a="1"/>
  <c r="S36" i="43" s="1"/>
  <c r="S33" i="43" a="1"/>
  <c r="S33" i="43" s="1"/>
  <c r="S22" i="26" a="1"/>
  <c r="S22" i="26" s="1"/>
  <c r="S21" i="26" a="1"/>
  <c r="S21" i="26" s="1"/>
  <c r="S30" i="46" a="1"/>
  <c r="S30" i="46" s="1"/>
  <c r="S19" i="27" a="1"/>
  <c r="S19" i="27" s="1"/>
  <c r="S32" i="27" a="1"/>
  <c r="S32" i="27" s="1"/>
  <c r="S28" i="48" a="1"/>
  <c r="S28" i="48" s="1"/>
  <c r="S25" i="48" a="1"/>
  <c r="S25" i="48" s="1"/>
  <c r="S22" i="49" a="1"/>
  <c r="S22" i="49" s="1"/>
  <c r="S27" i="33" a="1"/>
  <c r="S27" i="33" s="1"/>
  <c r="S24" i="33" a="1"/>
  <c r="S24" i="33" s="1"/>
  <c r="S28" i="32" a="1"/>
  <c r="S28" i="32" s="1"/>
  <c r="S19" i="32" a="1"/>
  <c r="S19" i="32" s="1"/>
  <c r="S35" i="32" a="1"/>
  <c r="S35" i="32" s="1"/>
  <c r="S32" i="25" a="1"/>
  <c r="S32" i="25" s="1"/>
  <c r="S24" i="45" a="1"/>
  <c r="S24" i="45" s="1"/>
  <c r="S31" i="31" a="1"/>
  <c r="S31" i="31" s="1"/>
  <c r="S28" i="43" a="1"/>
  <c r="S28" i="43" s="1"/>
  <c r="S32" i="26" a="1"/>
  <c r="S32" i="26" s="1"/>
  <c r="S22" i="48" a="1"/>
  <c r="S22" i="48" s="1"/>
  <c r="S27" i="48" a="1"/>
  <c r="S27" i="48" s="1"/>
  <c r="S33" i="45" a="1"/>
  <c r="S33" i="45" s="1"/>
  <c r="S29" i="26" a="1"/>
  <c r="S29" i="26" s="1"/>
  <c r="S32" i="29" a="1"/>
  <c r="S32" i="29" s="1"/>
  <c r="S29" i="29" a="1"/>
  <c r="S29" i="29" s="1"/>
  <c r="S26" i="49" a="1"/>
  <c r="S26" i="49" s="1"/>
  <c r="S25" i="33" a="1"/>
  <c r="S25" i="33" s="1"/>
  <c r="S28" i="33" a="1"/>
  <c r="S28" i="33" s="1"/>
  <c r="S23" i="32" a="1"/>
  <c r="S23" i="32" s="1"/>
  <c r="S27" i="25" a="1"/>
  <c r="S27" i="25" s="1"/>
  <c r="S20" i="25" a="1"/>
  <c r="S20" i="25" s="1"/>
  <c r="S36" i="25" a="1"/>
  <c r="S36" i="25" s="1"/>
  <c r="S28" i="45" a="1"/>
  <c r="S28" i="45" s="1"/>
  <c r="S36" i="45" a="1"/>
  <c r="S36" i="45" s="1"/>
  <c r="S25" i="31" a="1"/>
  <c r="S25" i="31" s="1"/>
  <c r="S19" i="51" a="1"/>
  <c r="S19" i="51" s="1"/>
  <c r="S35" i="51" a="1"/>
  <c r="S35" i="51" s="1"/>
  <c r="S21" i="30" a="1"/>
  <c r="S21" i="30" s="1"/>
  <c r="S26" i="29" a="1"/>
  <c r="S26" i="29" s="1"/>
  <c r="S23" i="29" a="1"/>
  <c r="S23" i="29" s="1"/>
  <c r="S26" i="27" a="1"/>
  <c r="S26" i="27" s="1"/>
  <c r="S27" i="49" a="1"/>
  <c r="S27" i="49" s="1"/>
  <c r="S32" i="49" a="1"/>
  <c r="S32" i="49" s="1"/>
  <c r="S29" i="49" a="1"/>
  <c r="S29" i="49" s="1"/>
  <c r="S31" i="33" a="1"/>
  <c r="S31" i="33" s="1"/>
  <c r="S32" i="32" a="1"/>
  <c r="S32" i="32" s="1"/>
  <c r="S34" i="30" a="1"/>
  <c r="S34" i="30" s="1"/>
  <c r="S22" i="29" a="1"/>
  <c r="S22" i="29" s="1"/>
  <c r="S19" i="29" a="1"/>
  <c r="S19" i="29" s="1"/>
  <c r="S35" i="29" a="1"/>
  <c r="S35" i="29" s="1"/>
  <c r="S24" i="30" a="1"/>
  <c r="S24" i="30" s="1"/>
  <c r="S27" i="29" a="1"/>
  <c r="S27" i="29" s="1"/>
  <c r="S35" i="33" a="1"/>
  <c r="S35" i="33" s="1"/>
  <c r="S26" i="33" a="1"/>
  <c r="S26" i="33" s="1"/>
  <c r="S36" i="32" a="1"/>
  <c r="S36" i="32" s="1"/>
  <c r="S21" i="32" a="1"/>
  <c r="S21" i="32" s="1"/>
  <c r="S34" i="25" a="1"/>
  <c r="S34" i="25" s="1"/>
  <c r="S29" i="45" a="1"/>
  <c r="S29" i="45" s="1"/>
  <c r="S35" i="31" a="1"/>
  <c r="S35" i="31" s="1"/>
  <c r="S26" i="43" a="1"/>
  <c r="S26" i="43" s="1"/>
  <c r="S36" i="26" a="1"/>
  <c r="S36" i="26" s="1"/>
  <c r="S28" i="51" a="1"/>
  <c r="S28" i="51" s="1"/>
  <c r="S33" i="51" a="1"/>
  <c r="S33" i="51" s="1"/>
  <c r="S28" i="46" a="1"/>
  <c r="S28" i="46" s="1"/>
  <c r="S21" i="46" a="1"/>
  <c r="S21" i="46" s="1"/>
  <c r="S28" i="49" a="1"/>
  <c r="S28" i="49" s="1"/>
  <c r="S25" i="49" a="1"/>
  <c r="S25" i="49" s="1"/>
  <c r="S20" i="32" a="1"/>
  <c r="S20" i="32" s="1"/>
  <c r="S34" i="32" a="1"/>
  <c r="S34" i="32" s="1"/>
  <c r="S31" i="45" a="1"/>
  <c r="S31" i="45" s="1"/>
  <c r="S19" i="31" a="1"/>
  <c r="S19" i="31" s="1"/>
  <c r="S26" i="31" a="1"/>
  <c r="S26" i="31" s="1"/>
  <c r="S29" i="43" a="1"/>
  <c r="S29" i="43" s="1"/>
  <c r="S20" i="26" a="1"/>
  <c r="S20" i="26" s="1"/>
  <c r="S34" i="26" a="1"/>
  <c r="S34" i="26" s="1"/>
  <c r="S33" i="26" a="1"/>
  <c r="S33" i="26" s="1"/>
  <c r="S30" i="30" a="1"/>
  <c r="S30" i="30" s="1"/>
  <c r="S20" i="48" a="1"/>
  <c r="S20" i="48" s="1"/>
  <c r="S36" i="48" a="1"/>
  <c r="S36" i="48" s="1"/>
  <c r="S33" i="48" a="1"/>
  <c r="S33" i="48" s="1"/>
  <c r="S27" i="32" a="1"/>
  <c r="S27" i="32" s="1"/>
  <c r="S21" i="45" a="1"/>
  <c r="S21" i="45" s="1"/>
  <c r="S32" i="45" a="1"/>
  <c r="S32" i="45" s="1"/>
  <c r="S28" i="31" a="1"/>
  <c r="S28" i="31" s="1"/>
  <c r="S32" i="43" a="1"/>
  <c r="S32" i="43" s="1"/>
  <c r="S23" i="43" a="1"/>
  <c r="S23" i="43" s="1"/>
  <c r="S27" i="26" a="1"/>
  <c r="S27" i="26" s="1"/>
  <c r="S26" i="51" a="1"/>
  <c r="S26" i="51" s="1"/>
  <c r="S26" i="46" a="1"/>
  <c r="S26" i="46" s="1"/>
  <c r="S19" i="46" a="1"/>
  <c r="S19" i="46" s="1"/>
  <c r="S35" i="46" a="1"/>
  <c r="S35" i="46" s="1"/>
  <c r="S33" i="30" a="1"/>
  <c r="S33" i="30" s="1"/>
  <c r="S31" i="51" a="1"/>
  <c r="S31" i="51" s="1"/>
  <c r="S24" i="46" a="1"/>
  <c r="S24" i="46" s="1"/>
  <c r="S29" i="30" a="1"/>
  <c r="S29" i="30" s="1"/>
  <c r="S31" i="29" a="1"/>
  <c r="S31" i="29" s="1"/>
  <c r="S32" i="44" a="1"/>
  <c r="S32" i="44" s="1"/>
  <c r="S23" i="30" a="1"/>
  <c r="S23" i="30" s="1"/>
  <c r="S33" i="29" a="1"/>
  <c r="S33" i="29" s="1"/>
  <c r="S32" i="30" a="1"/>
  <c r="S32" i="30" s="1"/>
  <c r="S30" i="29" a="1"/>
  <c r="S30" i="29" s="1"/>
  <c r="S19" i="30" a="1"/>
  <c r="S19" i="30" s="1"/>
  <c r="S21" i="29" a="1"/>
  <c r="S21" i="29" s="1"/>
  <c r="S32" i="48" a="1"/>
  <c r="S32" i="48" s="1"/>
  <c r="S29" i="48" a="1"/>
  <c r="S29" i="48" s="1"/>
  <c r="S21" i="44" a="1"/>
  <c r="S21" i="44" s="1"/>
  <c r="S30" i="44" a="1"/>
  <c r="S30" i="44" s="1"/>
  <c r="S24" i="27" a="1"/>
  <c r="S24" i="27" s="1"/>
  <c r="S31" i="46" a="1"/>
  <c r="S31" i="46" s="1"/>
  <c r="S28" i="30" a="1"/>
  <c r="S28" i="30" s="1"/>
  <c r="S35" i="30" a="1"/>
  <c r="S35" i="30" s="1"/>
  <c r="S34" i="29" a="1"/>
  <c r="S34" i="29" s="1"/>
  <c r="S26" i="48" a="1"/>
  <c r="S26" i="48" s="1"/>
  <c r="S31" i="48" a="1"/>
  <c r="S31" i="48" s="1"/>
  <c r="S27" i="44" a="1"/>
  <c r="S27" i="44" s="1"/>
  <c r="S22" i="30" a="1"/>
  <c r="S22" i="30" s="1"/>
  <c r="S28" i="29" a="1"/>
  <c r="S28" i="29" s="1"/>
  <c r="S25" i="29" a="1"/>
  <c r="S25" i="29" s="1"/>
  <c r="S30" i="48" a="1"/>
  <c r="S30" i="48" s="1"/>
  <c r="S19" i="48" a="1"/>
  <c r="S19" i="48" s="1"/>
  <c r="S35" i="48" a="1"/>
  <c r="S35" i="48" s="1"/>
  <c r="S22" i="27" a="1"/>
  <c r="S22" i="27" s="1"/>
  <c r="S31" i="27" a="1"/>
  <c r="S31" i="27" s="1"/>
  <c r="S25" i="27" a="1"/>
  <c r="S25" i="27" s="1"/>
  <c r="S19" i="44" a="1"/>
  <c r="S19" i="44" s="1"/>
  <c r="S24" i="44" a="1"/>
  <c r="S24" i="44" s="1"/>
  <c r="S19" i="28" a="1"/>
  <c r="S19" i="28" s="1"/>
  <c r="I30" i="45"/>
  <c r="X29" i="45" a="1"/>
  <c r="X29" i="45" s="1"/>
  <c r="X32" i="27" a="1"/>
  <c r="X32" i="27" s="1"/>
  <c r="X28" i="27" a="1"/>
  <c r="X28" i="27" s="1"/>
  <c r="X25" i="45" a="1"/>
  <c r="X25" i="45" s="1"/>
  <c r="X19" i="45" a="1"/>
  <c r="X19" i="45" s="1"/>
  <c r="I19" i="45"/>
  <c r="I23" i="45"/>
  <c r="X24" i="27" a="1"/>
  <c r="X24" i="27" s="1"/>
  <c r="I24" i="27"/>
  <c r="X23" i="45" a="1"/>
  <c r="X23" i="45" s="1"/>
  <c r="S35" i="28" a="1"/>
  <c r="S35" i="28" s="1"/>
  <c r="S20" i="44" a="1"/>
  <c r="S20" i="44" s="1"/>
  <c r="S28" i="44" a="1"/>
  <c r="S28" i="44" s="1"/>
  <c r="S36" i="44" a="1"/>
  <c r="S36" i="44" s="1"/>
  <c r="S31" i="44" a="1"/>
  <c r="S31" i="44" s="1"/>
  <c r="S27" i="30" a="1"/>
  <c r="S27" i="30" s="1"/>
  <c r="S36" i="30" a="1"/>
  <c r="S36" i="30" s="1"/>
  <c r="S24" i="29" a="1"/>
  <c r="S24" i="29" s="1"/>
  <c r="S24" i="48" a="1"/>
  <c r="S24" i="48" s="1"/>
  <c r="S21" i="48" a="1"/>
  <c r="S21" i="48" s="1"/>
  <c r="S22" i="44" a="1"/>
  <c r="S22" i="44" s="1"/>
  <c r="S25" i="44" a="1"/>
  <c r="S25" i="44" s="1"/>
  <c r="S33" i="44" a="1"/>
  <c r="S33" i="44" s="1"/>
  <c r="S33" i="27" a="1"/>
  <c r="S33" i="27" s="1"/>
  <c r="S23" i="44" a="1"/>
  <c r="S23" i="44" s="1"/>
  <c r="S34" i="44" a="1"/>
  <c r="S34" i="44" s="1"/>
  <c r="S27" i="28" a="1"/>
  <c r="S27" i="28" s="1"/>
  <c r="S26" i="28" a="1"/>
  <c r="S26" i="28" s="1"/>
  <c r="S34" i="27" a="1"/>
  <c r="S34" i="27" s="1"/>
  <c r="S27" i="27" a="1"/>
  <c r="S27" i="27" s="1"/>
  <c r="S29" i="28" a="1"/>
  <c r="S29" i="28" s="1"/>
  <c r="S23" i="27" a="1"/>
  <c r="S23" i="27" s="1"/>
  <c r="S31" i="28" a="1"/>
  <c r="S31" i="28" s="1"/>
  <c r="S30" i="28" a="1"/>
  <c r="S30" i="28" s="1"/>
  <c r="S35" i="44" a="1"/>
  <c r="S35" i="44" s="1"/>
  <c r="S21" i="27" a="1"/>
  <c r="S21" i="27" s="1"/>
  <c r="S33" i="28" a="1"/>
  <c r="S33" i="28" s="1"/>
  <c r="S32" i="28" a="1"/>
  <c r="S32" i="28" s="1"/>
  <c r="S21" i="28" a="1"/>
  <c r="S21" i="28" s="1"/>
  <c r="S20" i="28" a="1"/>
  <c r="S20" i="28" s="1"/>
  <c r="S28" i="28" a="1"/>
  <c r="S28" i="28" s="1"/>
  <c r="I19" i="30"/>
  <c r="X19" i="30" a="1"/>
  <c r="X19" i="30" s="1"/>
  <c r="X35" i="30" a="1"/>
  <c r="X35" i="30" s="1"/>
  <c r="I35" i="30"/>
  <c r="I28" i="30"/>
  <c r="I25" i="30"/>
  <c r="X25" i="30" a="1"/>
  <c r="X25" i="30" s="1"/>
  <c r="I22" i="30"/>
  <c r="X22" i="30" a="1"/>
  <c r="X22" i="30" s="1"/>
  <c r="X35" i="28" a="1"/>
  <c r="X35" i="28" s="1"/>
  <c r="I35" i="28"/>
  <c r="I36" i="28"/>
  <c r="X36" i="28" a="1"/>
  <c r="X36" i="28" s="1"/>
  <c r="I33" i="28"/>
  <c r="I20" i="45"/>
  <c r="X20" i="45" a="1"/>
  <c r="X20" i="45" s="1"/>
  <c r="X31" i="49" a="1"/>
  <c r="X31" i="49" s="1"/>
  <c r="I31" i="49"/>
  <c r="I20" i="49"/>
  <c r="X36" i="49" a="1"/>
  <c r="X36" i="49" s="1"/>
  <c r="I36" i="49"/>
  <c r="I33" i="49"/>
  <c r="X33" i="49" a="1"/>
  <c r="X33" i="49" s="1"/>
  <c r="I30" i="49"/>
  <c r="I19" i="29"/>
  <c r="X19" i="29" a="1"/>
  <c r="X19" i="29" s="1"/>
  <c r="I29" i="29"/>
  <c r="X29" i="29" a="1"/>
  <c r="X29" i="29" s="1"/>
  <c r="I35" i="29"/>
  <c r="X35" i="29" a="1"/>
  <c r="X35" i="29" s="1"/>
  <c r="I32" i="29"/>
  <c r="X22" i="29" a="1"/>
  <c r="X22" i="29" s="1"/>
  <c r="I22" i="29"/>
  <c r="I27" i="27"/>
  <c r="X27" i="27" a="1"/>
  <c r="X27" i="27" s="1"/>
  <c r="X28" i="44" a="1"/>
  <c r="X28" i="44" s="1"/>
  <c r="I28" i="44"/>
  <c r="X25" i="44" a="1"/>
  <c r="X25" i="44" s="1"/>
  <c r="I25" i="44"/>
  <c r="I31" i="44"/>
  <c r="X31" i="44" a="1"/>
  <c r="X31" i="44" s="1"/>
  <c r="B21" i="47"/>
  <c r="AI40" i="47"/>
  <c r="B30" i="47"/>
  <c r="AR40" i="47"/>
  <c r="AK40" i="47"/>
  <c r="B23" i="47"/>
  <c r="B32" i="47"/>
  <c r="AT40" i="47"/>
  <c r="AV40" i="50"/>
  <c r="B34" i="50"/>
  <c r="AO40" i="50"/>
  <c r="B27" i="50"/>
  <c r="AH40" i="50"/>
  <c r="B20" i="50"/>
  <c r="B36" i="50"/>
  <c r="AX40" i="50"/>
  <c r="B29" i="50"/>
  <c r="AQ40" i="50"/>
  <c r="X30" i="49" a="1"/>
  <c r="X30" i="49" s="1"/>
  <c r="I22" i="27"/>
  <c r="X22" i="27" a="1"/>
  <c r="X22" i="27" s="1"/>
  <c r="I32" i="33"/>
  <c r="X32" i="33" a="1"/>
  <c r="X32" i="33" s="1"/>
  <c r="I29" i="33"/>
  <c r="X26" i="33" a="1"/>
  <c r="X26" i="33" s="1"/>
  <c r="I26" i="33"/>
  <c r="X19" i="33" a="1"/>
  <c r="X19" i="33" s="1"/>
  <c r="I19" i="33"/>
  <c r="I35" i="33"/>
  <c r="X35" i="33" a="1"/>
  <c r="X35" i="33" s="1"/>
  <c r="I31" i="27"/>
  <c r="X31" i="27" a="1"/>
  <c r="X31" i="27" s="1"/>
  <c r="I21" i="32"/>
  <c r="X34" i="32" a="1"/>
  <c r="X34" i="32" s="1"/>
  <c r="I34" i="32"/>
  <c r="I27" i="32"/>
  <c r="I20" i="32"/>
  <c r="X20" i="32" a="1"/>
  <c r="X20" i="32" s="1"/>
  <c r="X36" i="32" a="1"/>
  <c r="X36" i="32" s="1"/>
  <c r="I36" i="32"/>
  <c r="I20" i="48"/>
  <c r="X20" i="48" a="1"/>
  <c r="X20" i="48" s="1"/>
  <c r="X36" i="48" a="1"/>
  <c r="X36" i="48" s="1"/>
  <c r="I36" i="48"/>
  <c r="I33" i="48"/>
  <c r="X30" i="48" a="1"/>
  <c r="X30" i="48" s="1"/>
  <c r="I30" i="48"/>
  <c r="X19" i="48" a="1"/>
  <c r="X19" i="48" s="1"/>
  <c r="I19" i="48"/>
  <c r="X35" i="48" a="1"/>
  <c r="X35" i="48" s="1"/>
  <c r="I35" i="48"/>
  <c r="I23" i="25"/>
  <c r="X32" i="25" a="1"/>
  <c r="X32" i="25" s="1"/>
  <c r="I32" i="25"/>
  <c r="X33" i="25" a="1"/>
  <c r="X33" i="25" s="1"/>
  <c r="I33" i="25"/>
  <c r="I30" i="25"/>
  <c r="I30" i="26"/>
  <c r="X30" i="26" a="1"/>
  <c r="X30" i="26" s="1"/>
  <c r="I23" i="26"/>
  <c r="I32" i="26"/>
  <c r="X32" i="26" a="1"/>
  <c r="X32" i="26" s="1"/>
  <c r="I29" i="26"/>
  <c r="X29" i="26" a="1"/>
  <c r="X29" i="26" s="1"/>
  <c r="X25" i="27" a="1"/>
  <c r="X25" i="27" s="1"/>
  <c r="I25" i="27"/>
  <c r="I22" i="31"/>
  <c r="X22" i="31" a="1"/>
  <c r="X22" i="31" s="1"/>
  <c r="I31" i="31"/>
  <c r="I24" i="31"/>
  <c r="X24" i="31" a="1"/>
  <c r="X24" i="31" s="1"/>
  <c r="X21" i="31" a="1"/>
  <c r="X21" i="31" s="1"/>
  <c r="I21" i="31"/>
  <c r="I19" i="43"/>
  <c r="I35" i="43"/>
  <c r="I28" i="43"/>
  <c r="X28" i="43" a="1"/>
  <c r="X28" i="43" s="1"/>
  <c r="X25" i="43" a="1"/>
  <c r="X25" i="43" s="1"/>
  <c r="I25" i="43"/>
  <c r="I22" i="43"/>
  <c r="X22" i="43" a="1"/>
  <c r="X22" i="43" s="1"/>
  <c r="I24" i="45"/>
  <c r="X24" i="45" a="1"/>
  <c r="X24" i="45" s="1"/>
  <c r="I29" i="51"/>
  <c r="X22" i="51" a="1"/>
  <c r="X22" i="51" s="1"/>
  <c r="I22" i="51"/>
  <c r="I31" i="51"/>
  <c r="X31" i="51" a="1"/>
  <c r="X31" i="51" s="1"/>
  <c r="I24" i="51"/>
  <c r="X22" i="46" a="1"/>
  <c r="X22" i="46" s="1"/>
  <c r="I22" i="46"/>
  <c r="X31" i="46" a="1"/>
  <c r="X31" i="46" s="1"/>
  <c r="I31" i="46"/>
  <c r="I24" i="46"/>
  <c r="X24" i="46" a="1"/>
  <c r="X24" i="46" s="1"/>
  <c r="X33" i="46" a="1"/>
  <c r="X33" i="46" s="1"/>
  <c r="I33" i="46"/>
  <c r="X33" i="48" a="1"/>
  <c r="X33" i="48" s="1"/>
  <c r="I23" i="30"/>
  <c r="X32" i="30" a="1"/>
  <c r="X32" i="30" s="1"/>
  <c r="I32" i="30"/>
  <c r="I29" i="30"/>
  <c r="I26" i="30"/>
  <c r="X26" i="30" a="1"/>
  <c r="X26" i="30" s="1"/>
  <c r="X23" i="28" a="1"/>
  <c r="X23" i="28" s="1"/>
  <c r="I23" i="28"/>
  <c r="X19" i="28" a="1"/>
  <c r="X19" i="28" s="1"/>
  <c r="I19" i="28"/>
  <c r="I20" i="28"/>
  <c r="X20" i="28" a="1"/>
  <c r="X20" i="28" s="1"/>
  <c r="I22" i="28"/>
  <c r="X22" i="28" a="1"/>
  <c r="X22" i="28" s="1"/>
  <c r="X21" i="28" a="1"/>
  <c r="X21" i="28" s="1"/>
  <c r="I21" i="28"/>
  <c r="I19" i="49"/>
  <c r="I35" i="49"/>
  <c r="X24" i="49" a="1"/>
  <c r="X24" i="49" s="1"/>
  <c r="I24" i="49"/>
  <c r="I21" i="49"/>
  <c r="X21" i="49" a="1"/>
  <c r="X21" i="49" s="1"/>
  <c r="X34" i="49" a="1"/>
  <c r="X34" i="49" s="1"/>
  <c r="I34" i="49"/>
  <c r="I27" i="29"/>
  <c r="X27" i="29" a="1"/>
  <c r="X27" i="29" s="1"/>
  <c r="I23" i="29"/>
  <c r="X23" i="29" a="1"/>
  <c r="X23" i="29" s="1"/>
  <c r="I20" i="29"/>
  <c r="X36" i="29" a="1"/>
  <c r="X36" i="29" s="1"/>
  <c r="I36" i="29"/>
  <c r="X26" i="29" a="1"/>
  <c r="X26" i="29" s="1"/>
  <c r="I26" i="29"/>
  <c r="I26" i="44"/>
  <c r="X26" i="44" a="1"/>
  <c r="X26" i="44" s="1"/>
  <c r="X36" i="44" a="1"/>
  <c r="X36" i="44" s="1"/>
  <c r="I36" i="44"/>
  <c r="X24" i="44" a="1"/>
  <c r="X24" i="44" s="1"/>
  <c r="I24" i="44"/>
  <c r="X29" i="44" a="1"/>
  <c r="X29" i="44" s="1"/>
  <c r="I29" i="44"/>
  <c r="I19" i="44"/>
  <c r="X19" i="44" a="1"/>
  <c r="X19" i="44" s="1"/>
  <c r="I35" i="44"/>
  <c r="X35" i="44" a="1"/>
  <c r="X35" i="44" s="1"/>
  <c r="AM40" i="47"/>
  <c r="B25" i="47"/>
  <c r="B34" i="47"/>
  <c r="AV40" i="47"/>
  <c r="AO40" i="47"/>
  <c r="B27" i="47"/>
  <c r="AH40" i="47"/>
  <c r="B20" i="47"/>
  <c r="B36" i="47"/>
  <c r="AX40" i="47"/>
  <c r="AJ40" i="50"/>
  <c r="B22" i="50"/>
  <c r="B31" i="50"/>
  <c r="AS40" i="50"/>
  <c r="AL40" i="50"/>
  <c r="B24" i="50"/>
  <c r="B33" i="50"/>
  <c r="AU40" i="50"/>
  <c r="X35" i="49" a="1"/>
  <c r="X35" i="49" s="1"/>
  <c r="I20" i="33"/>
  <c r="X20" i="33" a="1"/>
  <c r="X20" i="33" s="1"/>
  <c r="I36" i="33"/>
  <c r="X36" i="33" a="1"/>
  <c r="X36" i="33" s="1"/>
  <c r="X33" i="33" a="1"/>
  <c r="X33" i="33" s="1"/>
  <c r="I33" i="33"/>
  <c r="X30" i="33" a="1"/>
  <c r="X30" i="33" s="1"/>
  <c r="I30" i="33"/>
  <c r="X23" i="33" a="1"/>
  <c r="X23" i="33" s="1"/>
  <c r="I23" i="33"/>
  <c r="I25" i="32"/>
  <c r="I22" i="32"/>
  <c r="X22" i="32" a="1"/>
  <c r="X22" i="32" s="1"/>
  <c r="I31" i="32"/>
  <c r="X31" i="32" a="1"/>
  <c r="X31" i="32" s="1"/>
  <c r="X24" i="32" a="1"/>
  <c r="X24" i="32" s="1"/>
  <c r="I24" i="32"/>
  <c r="I24" i="48"/>
  <c r="X24" i="48" a="1"/>
  <c r="X24" i="48" s="1"/>
  <c r="I21" i="48"/>
  <c r="X21" i="48" a="1"/>
  <c r="X21" i="48" s="1"/>
  <c r="I34" i="48"/>
  <c r="X34" i="48" a="1"/>
  <c r="X34" i="48" s="1"/>
  <c r="X23" i="48" a="1"/>
  <c r="X23" i="48" s="1"/>
  <c r="I23" i="48"/>
  <c r="X29" i="33" a="1"/>
  <c r="X29" i="33" s="1"/>
  <c r="I27" i="25"/>
  <c r="X27" i="25" a="1"/>
  <c r="X27" i="25" s="1"/>
  <c r="I20" i="25"/>
  <c r="I36" i="25"/>
  <c r="I34" i="25"/>
  <c r="X34" i="25" a="1"/>
  <c r="X34" i="25" s="1"/>
  <c r="I34" i="26"/>
  <c r="I27" i="26"/>
  <c r="I20" i="26"/>
  <c r="X36" i="26" a="1"/>
  <c r="X36" i="26" s="1"/>
  <c r="I36" i="26"/>
  <c r="I33" i="26"/>
  <c r="I26" i="27"/>
  <c r="X26" i="27" a="1"/>
  <c r="X26" i="27" s="1"/>
  <c r="I26" i="31"/>
  <c r="X26" i="31" a="1"/>
  <c r="X26" i="31" s="1"/>
  <c r="I19" i="31"/>
  <c r="X19" i="31" a="1"/>
  <c r="X19" i="31" s="1"/>
  <c r="X35" i="31" a="1"/>
  <c r="X35" i="31" s="1"/>
  <c r="I35" i="31"/>
  <c r="I28" i="31"/>
  <c r="X28" i="31" a="1"/>
  <c r="X28" i="31" s="1"/>
  <c r="X25" i="31" a="1"/>
  <c r="X25" i="31" s="1"/>
  <c r="I25" i="31"/>
  <c r="I23" i="43"/>
  <c r="I32" i="43"/>
  <c r="I29" i="43"/>
  <c r="X29" i="43" a="1"/>
  <c r="X29" i="43" s="1"/>
  <c r="X26" i="43" a="1"/>
  <c r="X26" i="43" s="1"/>
  <c r="I26" i="43"/>
  <c r="I31" i="45"/>
  <c r="X31" i="45" a="1"/>
  <c r="X31" i="45" s="1"/>
  <c r="I33" i="51"/>
  <c r="I26" i="51"/>
  <c r="I19" i="51"/>
  <c r="AB19" i="51"/>
  <c r="I35" i="51"/>
  <c r="X35" i="51" a="1"/>
  <c r="X35" i="51" s="1"/>
  <c r="I28" i="51"/>
  <c r="I26" i="46"/>
  <c r="I19" i="46"/>
  <c r="I35" i="46"/>
  <c r="I28" i="46"/>
  <c r="X28" i="46" a="1"/>
  <c r="X28" i="46" s="1"/>
  <c r="X21" i="46" a="1"/>
  <c r="X21" i="46" s="1"/>
  <c r="I21" i="46"/>
  <c r="X23" i="25" a="1"/>
  <c r="X23" i="25" s="1"/>
  <c r="X26" i="51" a="1"/>
  <c r="X26" i="51" s="1"/>
  <c r="I27" i="30"/>
  <c r="X27" i="30" a="1"/>
  <c r="X27" i="30" s="1"/>
  <c r="I20" i="30"/>
  <c r="I36" i="30"/>
  <c r="X36" i="30" a="1"/>
  <c r="X36" i="30" s="1"/>
  <c r="X33" i="30" a="1"/>
  <c r="X33" i="30" s="1"/>
  <c r="I33" i="30"/>
  <c r="I30" i="30"/>
  <c r="X30" i="30" a="1"/>
  <c r="X30" i="30" s="1"/>
  <c r="X30" i="27" a="1"/>
  <c r="X30" i="27" s="1"/>
  <c r="I30" i="27"/>
  <c r="X28" i="28" a="1"/>
  <c r="X28" i="28" s="1"/>
  <c r="I28" i="28"/>
  <c r="X24" i="28" a="1"/>
  <c r="X24" i="28" s="1"/>
  <c r="I24" i="28"/>
  <c r="I26" i="28"/>
  <c r="X26" i="28" a="1"/>
  <c r="X26" i="28" s="1"/>
  <c r="X27" i="28" a="1"/>
  <c r="X27" i="28" s="1"/>
  <c r="I27" i="28"/>
  <c r="I25" i="28"/>
  <c r="X23" i="49" a="1"/>
  <c r="X23" i="49" s="1"/>
  <c r="I23" i="49"/>
  <c r="I28" i="49"/>
  <c r="X28" i="49" a="1"/>
  <c r="X28" i="49" s="1"/>
  <c r="I25" i="49"/>
  <c r="X25" i="49" a="1"/>
  <c r="X25" i="49" s="1"/>
  <c r="I22" i="49"/>
  <c r="I31" i="29"/>
  <c r="X31" i="29" a="1"/>
  <c r="X31" i="29" s="1"/>
  <c r="I24" i="29"/>
  <c r="X24" i="29" a="1"/>
  <c r="X24" i="29" s="1"/>
  <c r="X33" i="29" a="1"/>
  <c r="X33" i="29" s="1"/>
  <c r="I33" i="29"/>
  <c r="I30" i="29"/>
  <c r="X30" i="29" a="1"/>
  <c r="X30" i="29" s="1"/>
  <c r="X33" i="27" a="1"/>
  <c r="X33" i="27" s="1"/>
  <c r="I33" i="27"/>
  <c r="I34" i="44"/>
  <c r="X34" i="44" a="1"/>
  <c r="X34" i="44" s="1"/>
  <c r="I22" i="44"/>
  <c r="X32" i="44" a="1"/>
  <c r="X32" i="44" s="1"/>
  <c r="I32" i="44"/>
  <c r="X33" i="44" a="1"/>
  <c r="X33" i="44" s="1"/>
  <c r="I33" i="44"/>
  <c r="I23" i="44"/>
  <c r="X23" i="44" a="1"/>
  <c r="X23" i="44" s="1"/>
  <c r="B29" i="47"/>
  <c r="AQ40" i="47"/>
  <c r="B22" i="47"/>
  <c r="AJ40" i="47"/>
  <c r="B31" i="47"/>
  <c r="AS40" i="47"/>
  <c r="B24" i="47"/>
  <c r="AL40" i="47"/>
  <c r="I26" i="45"/>
  <c r="AN40" i="50"/>
  <c r="B26" i="50"/>
  <c r="B19" i="50"/>
  <c r="AG40" i="50"/>
  <c r="B35" i="50"/>
  <c r="AW40" i="50"/>
  <c r="AP40" i="50"/>
  <c r="B28" i="50"/>
  <c r="B21" i="50"/>
  <c r="AI40" i="50"/>
  <c r="X33" i="28" a="1"/>
  <c r="X33" i="28" s="1"/>
  <c r="X28" i="30" a="1"/>
  <c r="X28" i="30" s="1"/>
  <c r="X21" i="27" a="1"/>
  <c r="X21" i="27" s="1"/>
  <c r="I21" i="27"/>
  <c r="I24" i="33"/>
  <c r="X24" i="33" a="1"/>
  <c r="X24" i="33" s="1"/>
  <c r="I21" i="33"/>
  <c r="X21" i="33" a="1"/>
  <c r="X21" i="33" s="1"/>
  <c r="X34" i="33" a="1"/>
  <c r="X34" i="33" s="1"/>
  <c r="I34" i="33"/>
  <c r="I27" i="33"/>
  <c r="X27" i="33" a="1"/>
  <c r="X27" i="33" s="1"/>
  <c r="I22" i="45"/>
  <c r="X22" i="45" a="1"/>
  <c r="X22" i="45" s="1"/>
  <c r="X29" i="32" a="1"/>
  <c r="X29" i="32" s="1"/>
  <c r="I29" i="32"/>
  <c r="X26" i="32" a="1"/>
  <c r="X26" i="32" s="1"/>
  <c r="I26" i="32"/>
  <c r="I19" i="32"/>
  <c r="I35" i="32"/>
  <c r="X28" i="32" a="1"/>
  <c r="X28" i="32" s="1"/>
  <c r="I28" i="32"/>
  <c r="I33" i="45"/>
  <c r="X33" i="45" a="1"/>
  <c r="X33" i="45" s="1"/>
  <c r="I28" i="48"/>
  <c r="X28" i="48" a="1"/>
  <c r="X28" i="48" s="1"/>
  <c r="I25" i="48"/>
  <c r="X22" i="48" a="1"/>
  <c r="X22" i="48" s="1"/>
  <c r="I22" i="48"/>
  <c r="X27" i="48" a="1"/>
  <c r="X27" i="48" s="1"/>
  <c r="I27" i="48"/>
  <c r="X20" i="49" a="1"/>
  <c r="X20" i="49" s="1"/>
  <c r="I21" i="25"/>
  <c r="X21" i="25" a="1"/>
  <c r="X21" i="25" s="1"/>
  <c r="I31" i="25"/>
  <c r="X31" i="25" a="1"/>
  <c r="X31" i="25" s="1"/>
  <c r="X24" i="25" a="1"/>
  <c r="X24" i="25" s="1"/>
  <c r="I24" i="25"/>
  <c r="I25" i="25"/>
  <c r="I22" i="25"/>
  <c r="I22" i="26"/>
  <c r="X22" i="26" a="1"/>
  <c r="X22" i="26" s="1"/>
  <c r="I31" i="26"/>
  <c r="X31" i="26" a="1"/>
  <c r="X31" i="26" s="1"/>
  <c r="I24" i="26"/>
  <c r="X24" i="26" a="1"/>
  <c r="X24" i="26" s="1"/>
  <c r="X21" i="26" a="1"/>
  <c r="X21" i="26" s="1"/>
  <c r="I21" i="26"/>
  <c r="I19" i="27"/>
  <c r="X19" i="27" a="1"/>
  <c r="X19" i="27" s="1"/>
  <c r="I30" i="31"/>
  <c r="X30" i="31" a="1"/>
  <c r="X30" i="31" s="1"/>
  <c r="I23" i="31"/>
  <c r="X23" i="31" a="1"/>
  <c r="X23" i="31" s="1"/>
  <c r="X32" i="31" a="1"/>
  <c r="X32" i="31" s="1"/>
  <c r="I32" i="31"/>
  <c r="X29" i="31" a="1"/>
  <c r="X29" i="31" s="1"/>
  <c r="I29" i="31"/>
  <c r="I20" i="27"/>
  <c r="I27" i="43"/>
  <c r="I20" i="43"/>
  <c r="I36" i="43"/>
  <c r="I33" i="43"/>
  <c r="X33" i="43" a="1"/>
  <c r="X33" i="43" s="1"/>
  <c r="I30" i="43"/>
  <c r="I34" i="45"/>
  <c r="X34" i="45" a="1"/>
  <c r="X34" i="45" s="1"/>
  <c r="I21" i="51"/>
  <c r="I30" i="51"/>
  <c r="X30" i="51" a="1"/>
  <c r="X30" i="51" s="1"/>
  <c r="I23" i="51"/>
  <c r="X23" i="51" a="1"/>
  <c r="X23" i="51" s="1"/>
  <c r="I32" i="51"/>
  <c r="X30" i="46" a="1"/>
  <c r="X30" i="46" s="1"/>
  <c r="I30" i="46"/>
  <c r="X23" i="46" a="1"/>
  <c r="X23" i="46" s="1"/>
  <c r="I23" i="46"/>
  <c r="I32" i="46"/>
  <c r="X32" i="46" a="1"/>
  <c r="X32" i="46" s="1"/>
  <c r="X25" i="46" a="1"/>
  <c r="X25" i="46" s="1"/>
  <c r="I25" i="46"/>
  <c r="X27" i="32" a="1"/>
  <c r="X27" i="32" s="1"/>
  <c r="S30" i="27" a="1"/>
  <c r="S30" i="27" s="1"/>
  <c r="X29" i="27" a="1"/>
  <c r="X29" i="27" s="1"/>
  <c r="I29" i="27"/>
  <c r="I31" i="30"/>
  <c r="X24" i="30" a="1"/>
  <c r="X24" i="30" s="1"/>
  <c r="I24" i="30"/>
  <c r="I21" i="30"/>
  <c r="I34" i="30"/>
  <c r="X34" i="30" a="1"/>
  <c r="X34" i="30" s="1"/>
  <c r="I23" i="27"/>
  <c r="X23" i="27" a="1"/>
  <c r="X23" i="27" s="1"/>
  <c r="I34" i="28"/>
  <c r="X34" i="28" a="1"/>
  <c r="X34" i="28" s="1"/>
  <c r="I30" i="28"/>
  <c r="X30" i="28" a="1"/>
  <c r="X30" i="28" s="1"/>
  <c r="X31" i="28" a="1"/>
  <c r="X31" i="28" s="1"/>
  <c r="I31" i="28"/>
  <c r="I32" i="28"/>
  <c r="I29" i="28"/>
  <c r="X29" i="28" a="1"/>
  <c r="X29" i="28" s="1"/>
  <c r="I36" i="45"/>
  <c r="X36" i="45" a="1"/>
  <c r="X36" i="45" s="1"/>
  <c r="I27" i="49"/>
  <c r="I32" i="49"/>
  <c r="X32" i="49" a="1"/>
  <c r="X32" i="49" s="1"/>
  <c r="I29" i="49"/>
  <c r="X29" i="49" a="1"/>
  <c r="X29" i="49" s="1"/>
  <c r="X26" i="49" a="1"/>
  <c r="X26" i="49" s="1"/>
  <c r="I26" i="49"/>
  <c r="X31" i="30" a="1"/>
  <c r="X31" i="30" s="1"/>
  <c r="I21" i="29"/>
  <c r="X21" i="29" a="1"/>
  <c r="X21" i="29" s="1"/>
  <c r="I25" i="29"/>
  <c r="X25" i="29" a="1"/>
  <c r="X25" i="29" s="1"/>
  <c r="I28" i="29"/>
  <c r="I34" i="29"/>
  <c r="X34" i="29" a="1"/>
  <c r="X34" i="29" s="1"/>
  <c r="I34" i="27"/>
  <c r="X34" i="27" a="1"/>
  <c r="X34" i="27" s="1"/>
  <c r="I20" i="44"/>
  <c r="X20" i="44" a="1"/>
  <c r="X20" i="44" s="1"/>
  <c r="I30" i="44"/>
  <c r="X30" i="44" a="1"/>
  <c r="X30" i="44" s="1"/>
  <c r="X21" i="44" a="1"/>
  <c r="X21" i="44" s="1"/>
  <c r="I21" i="44"/>
  <c r="I27" i="44"/>
  <c r="X27" i="44" a="1"/>
  <c r="X27" i="44" s="1"/>
  <c r="X21" i="45" a="1"/>
  <c r="X21" i="45" s="1"/>
  <c r="I21" i="45"/>
  <c r="AU40" i="47"/>
  <c r="B33" i="47"/>
  <c r="AN40" i="47"/>
  <c r="B26" i="47"/>
  <c r="AG40" i="47"/>
  <c r="B19" i="47"/>
  <c r="AW40" i="47"/>
  <c r="B35" i="47"/>
  <c r="AP40" i="47"/>
  <c r="B28" i="47"/>
  <c r="I32" i="45"/>
  <c r="B30" i="50"/>
  <c r="AR40" i="50"/>
  <c r="B23" i="50"/>
  <c r="AK40" i="50"/>
  <c r="AT40" i="50"/>
  <c r="B32" i="50"/>
  <c r="B25" i="50"/>
  <c r="AM40" i="50"/>
  <c r="X25" i="28" a="1"/>
  <c r="X25" i="28" s="1"/>
  <c r="X19" i="49" a="1"/>
  <c r="X19" i="49" s="1"/>
  <c r="X20" i="30" a="1"/>
  <c r="X20" i="30" s="1"/>
  <c r="I28" i="33"/>
  <c r="X28" i="33" a="1"/>
  <c r="X28" i="33" s="1"/>
  <c r="I25" i="33"/>
  <c r="X22" i="33" a="1"/>
  <c r="X22" i="33" s="1"/>
  <c r="I22" i="33"/>
  <c r="I31" i="33"/>
  <c r="X31" i="33" a="1"/>
  <c r="X31" i="33" s="1"/>
  <c r="I28" i="45"/>
  <c r="X33" i="32" a="1"/>
  <c r="X33" i="32" s="1"/>
  <c r="I33" i="32"/>
  <c r="X30" i="32" a="1"/>
  <c r="X30" i="32" s="1"/>
  <c r="I30" i="32"/>
  <c r="I23" i="32"/>
  <c r="X32" i="32" a="1"/>
  <c r="X32" i="32" s="1"/>
  <c r="I32" i="32"/>
  <c r="I35" i="45"/>
  <c r="X35" i="45" a="1"/>
  <c r="X35" i="45" s="1"/>
  <c r="X32" i="48" a="1"/>
  <c r="X32" i="48" s="1"/>
  <c r="I32" i="48"/>
  <c r="I29" i="48"/>
  <c r="X29" i="48" a="1"/>
  <c r="X29" i="48" s="1"/>
  <c r="X26" i="48" a="1"/>
  <c r="X26" i="48" s="1"/>
  <c r="I26" i="48"/>
  <c r="X31" i="48" a="1"/>
  <c r="X31" i="48" s="1"/>
  <c r="I31" i="48"/>
  <c r="X20" i="29" a="1"/>
  <c r="X20" i="29" s="1"/>
  <c r="X27" i="43" a="1"/>
  <c r="X27" i="43" s="1"/>
  <c r="I19" i="25"/>
  <c r="X19" i="25" a="1"/>
  <c r="X19" i="25" s="1"/>
  <c r="I35" i="25"/>
  <c r="X35" i="25" a="1"/>
  <c r="X35" i="25" s="1"/>
  <c r="I28" i="25"/>
  <c r="X28" i="25" a="1"/>
  <c r="X28" i="25" s="1"/>
  <c r="X29" i="25" a="1"/>
  <c r="X29" i="25" s="1"/>
  <c r="I29" i="25"/>
  <c r="X26" i="25" a="1"/>
  <c r="X26" i="25" s="1"/>
  <c r="I26" i="25"/>
  <c r="X26" i="26" a="1"/>
  <c r="X26" i="26" s="1"/>
  <c r="I26" i="26"/>
  <c r="I19" i="26"/>
  <c r="I35" i="26"/>
  <c r="I28" i="26"/>
  <c r="I25" i="26"/>
  <c r="X25" i="26" a="1"/>
  <c r="X25" i="26" s="1"/>
  <c r="I35" i="27"/>
  <c r="X35" i="27" a="1"/>
  <c r="X35" i="27" s="1"/>
  <c r="I34" i="31"/>
  <c r="X34" i="31" a="1"/>
  <c r="X34" i="31" s="1"/>
  <c r="I27" i="31"/>
  <c r="I20" i="31"/>
  <c r="X20" i="31" a="1"/>
  <c r="X20" i="31" s="1"/>
  <c r="I36" i="31"/>
  <c r="X36" i="31" a="1"/>
  <c r="X36" i="31" s="1"/>
  <c r="I33" i="31"/>
  <c r="X33" i="31" a="1"/>
  <c r="X33" i="31" s="1"/>
  <c r="X36" i="27" a="1"/>
  <c r="X36" i="27" s="1"/>
  <c r="I36" i="27"/>
  <c r="I31" i="43"/>
  <c r="I24" i="43"/>
  <c r="X24" i="43" a="1"/>
  <c r="X24" i="43" s="1"/>
  <c r="I21" i="43"/>
  <c r="I34" i="43"/>
  <c r="I25" i="51"/>
  <c r="I34" i="51"/>
  <c r="I27" i="51"/>
  <c r="X27" i="51" a="1"/>
  <c r="X27" i="51" s="1"/>
  <c r="I20" i="51"/>
  <c r="I36" i="51"/>
  <c r="I34" i="46"/>
  <c r="I27" i="46"/>
  <c r="X27" i="46" a="1"/>
  <c r="X27" i="46" s="1"/>
  <c r="I20" i="46"/>
  <c r="X20" i="46" a="1"/>
  <c r="X20" i="46" s="1"/>
  <c r="X36" i="46" a="1"/>
  <c r="X36" i="46" s="1"/>
  <c r="I36" i="46"/>
  <c r="X29" i="46" a="1"/>
  <c r="X29" i="46" s="1"/>
  <c r="I29" i="46"/>
  <c r="X22" i="44" a="1"/>
  <c r="X22" i="44" s="1"/>
  <c r="X20" i="43" a="1"/>
  <c r="X20" i="43" s="1"/>
  <c r="AG32" i="27" l="1"/>
  <c r="F32" i="27" s="1" a="1"/>
  <c r="F32" i="27" s="1"/>
  <c r="A35" i="50"/>
  <c r="D35" i="50"/>
  <c r="A32" i="50"/>
  <c r="D32" i="50"/>
  <c r="A26" i="50"/>
  <c r="D26" i="50"/>
  <c r="AB26" i="50" s="1"/>
  <c r="A33" i="50"/>
  <c r="D33" i="50"/>
  <c r="A29" i="50"/>
  <c r="D29" i="50"/>
  <c r="A25" i="50"/>
  <c r="D25" i="50"/>
  <c r="A24" i="50"/>
  <c r="D24" i="50"/>
  <c r="A23" i="50"/>
  <c r="D23" i="50"/>
  <c r="A36" i="50"/>
  <c r="D36" i="50"/>
  <c r="AB36" i="50" s="1"/>
  <c r="A20" i="50"/>
  <c r="D20" i="50"/>
  <c r="A30" i="50"/>
  <c r="D30" i="50"/>
  <c r="AB30" i="50" s="1"/>
  <c r="A21" i="50"/>
  <c r="D21" i="50"/>
  <c r="A31" i="50"/>
  <c r="D31" i="50"/>
  <c r="A28" i="50"/>
  <c r="D28" i="50"/>
  <c r="A22" i="50"/>
  <c r="D22" i="50"/>
  <c r="A27" i="50"/>
  <c r="D27" i="50"/>
  <c r="AB27" i="50" s="1"/>
  <c r="A34" i="50"/>
  <c r="D34" i="50"/>
  <c r="A19" i="50"/>
  <c r="D19" i="50"/>
  <c r="A22" i="47"/>
  <c r="D22" i="47"/>
  <c r="A27" i="47"/>
  <c r="D27" i="47"/>
  <c r="A23" i="47"/>
  <c r="D23" i="47"/>
  <c r="A34" i="47"/>
  <c r="D34" i="47"/>
  <c r="A30" i="47"/>
  <c r="D30" i="47"/>
  <c r="AB30" i="47" s="1"/>
  <c r="A25" i="47"/>
  <c r="D25" i="47"/>
  <c r="A33" i="47"/>
  <c r="D33" i="47"/>
  <c r="A21" i="47"/>
  <c r="D21" i="47"/>
  <c r="A26" i="47"/>
  <c r="D26" i="47"/>
  <c r="A24" i="47"/>
  <c r="D24" i="47"/>
  <c r="A31" i="47"/>
  <c r="D31" i="47"/>
  <c r="AB31" i="47" s="1"/>
  <c r="A28" i="47"/>
  <c r="D28" i="47"/>
  <c r="AB28" i="47" s="1"/>
  <c r="A35" i="47"/>
  <c r="D35" i="47"/>
  <c r="A36" i="47"/>
  <c r="D36" i="47"/>
  <c r="A29" i="47"/>
  <c r="D29" i="47"/>
  <c r="A20" i="47"/>
  <c r="D20" i="47"/>
  <c r="A32" i="47"/>
  <c r="D32" i="47"/>
  <c r="AB32" i="47" s="1"/>
  <c r="A19" i="47"/>
  <c r="D19" i="47"/>
  <c r="A34" i="20"/>
  <c r="D34" i="20"/>
  <c r="A22" i="20"/>
  <c r="D22" i="20"/>
  <c r="A36" i="20"/>
  <c r="D36" i="20"/>
  <c r="A28" i="20"/>
  <c r="D28" i="20"/>
  <c r="A32" i="20"/>
  <c r="D32" i="20"/>
  <c r="AB32" i="20" s="1"/>
  <c r="A29" i="20"/>
  <c r="D29" i="20"/>
  <c r="AB29" i="20" s="1"/>
  <c r="A25" i="20"/>
  <c r="D25" i="20"/>
  <c r="A24" i="20"/>
  <c r="D24" i="20"/>
  <c r="A21" i="20"/>
  <c r="D21" i="20"/>
  <c r="A20" i="20"/>
  <c r="D20" i="20"/>
  <c r="A31" i="20"/>
  <c r="D31" i="20"/>
  <c r="AB31" i="20" s="1"/>
  <c r="A33" i="20"/>
  <c r="D33" i="20"/>
  <c r="AB33" i="20" s="1"/>
  <c r="A23" i="20"/>
  <c r="D23" i="20"/>
  <c r="A27" i="20"/>
  <c r="D27" i="20"/>
  <c r="AB27" i="20" s="1"/>
  <c r="A30" i="20"/>
  <c r="D30" i="20"/>
  <c r="A35" i="20"/>
  <c r="D35" i="20"/>
  <c r="A26" i="20"/>
  <c r="D26" i="20"/>
  <c r="A19" i="20"/>
  <c r="D19" i="20"/>
  <c r="A34" i="54"/>
  <c r="AB34" i="25"/>
  <c r="AB34" i="31"/>
  <c r="AB34" i="30"/>
  <c r="AB34" i="45"/>
  <c r="AB34" i="51"/>
  <c r="AB34" i="29"/>
  <c r="AB34" i="44"/>
  <c r="AB34" i="28"/>
  <c r="AB34" i="43"/>
  <c r="AB34" i="49"/>
  <c r="AB34" i="27"/>
  <c r="AB34" i="33"/>
  <c r="AB34" i="48"/>
  <c r="AB34" i="26"/>
  <c r="AB34" i="32"/>
  <c r="D34" i="54"/>
  <c r="AB34" i="54" s="1"/>
  <c r="AB34" i="46"/>
  <c r="A21" i="54"/>
  <c r="AB21" i="43"/>
  <c r="AB21" i="48"/>
  <c r="AB21" i="46"/>
  <c r="AB21" i="45"/>
  <c r="AB21" i="51"/>
  <c r="AB21" i="49"/>
  <c r="D21" i="54"/>
  <c r="A33" i="54"/>
  <c r="AB33" i="30"/>
  <c r="AB33" i="29"/>
  <c r="AB33" i="44"/>
  <c r="AB33" i="28"/>
  <c r="AB33" i="43"/>
  <c r="AB33" i="27"/>
  <c r="AB33" i="33"/>
  <c r="AB33" i="48"/>
  <c r="AB33" i="26"/>
  <c r="AB33" i="32"/>
  <c r="AB33" i="25"/>
  <c r="AB33" i="31"/>
  <c r="AB33" i="46"/>
  <c r="AB33" i="45"/>
  <c r="AB33" i="49"/>
  <c r="AB33" i="51"/>
  <c r="D33" i="54"/>
  <c r="O33" i="54" s="1"/>
  <c r="A36" i="54"/>
  <c r="AB36" i="27"/>
  <c r="AB36" i="33"/>
  <c r="AB36" i="26"/>
  <c r="AB36" i="32"/>
  <c r="AB36" i="25"/>
  <c r="AB36" i="31"/>
  <c r="AB36" i="46"/>
  <c r="AB36" i="30"/>
  <c r="AB36" i="45"/>
  <c r="AB36" i="51"/>
  <c r="AB36" i="29"/>
  <c r="AB36" i="44"/>
  <c r="AB36" i="28"/>
  <c r="AB36" i="43"/>
  <c r="AB36" i="49"/>
  <c r="D36" i="54"/>
  <c r="AB36" i="48"/>
  <c r="A24" i="54"/>
  <c r="AB24" i="27"/>
  <c r="AB24" i="33"/>
  <c r="AB24" i="26"/>
  <c r="AB24" i="32"/>
  <c r="AB24" i="25"/>
  <c r="AB24" i="31"/>
  <c r="AB24" i="46"/>
  <c r="AB24" i="30"/>
  <c r="AB24" i="45"/>
  <c r="AB24" i="51"/>
  <c r="AB24" i="29"/>
  <c r="AB24" i="44"/>
  <c r="AB24" i="28"/>
  <c r="AB24" i="43"/>
  <c r="AB24" i="49"/>
  <c r="D24" i="54"/>
  <c r="AB24" i="48"/>
  <c r="A28" i="54"/>
  <c r="AB28" i="25"/>
  <c r="AB28" i="31"/>
  <c r="AB28" i="30"/>
  <c r="AB28" i="45"/>
  <c r="AB28" i="51"/>
  <c r="AB28" i="29"/>
  <c r="AB28" i="44"/>
  <c r="AB28" i="28"/>
  <c r="AB28" i="43"/>
  <c r="AB28" i="49"/>
  <c r="AB28" i="32"/>
  <c r="AB28" i="27"/>
  <c r="AB28" i="33"/>
  <c r="AB28" i="48"/>
  <c r="AB28" i="26"/>
  <c r="AB28" i="46"/>
  <c r="D28" i="54"/>
  <c r="O28" i="54" s="1"/>
  <c r="C16" i="53" s="1"/>
  <c r="A32" i="54"/>
  <c r="AB32" i="29"/>
  <c r="AB32" i="28"/>
  <c r="AB32" i="43"/>
  <c r="AB32" i="49"/>
  <c r="AB32" i="27"/>
  <c r="AB32" i="33"/>
  <c r="AB32" i="26"/>
  <c r="AB32" i="32"/>
  <c r="AB32" i="45"/>
  <c r="AB32" i="25"/>
  <c r="AB32" i="31"/>
  <c r="AB32" i="46"/>
  <c r="D32" i="54"/>
  <c r="AB32" i="54" s="1"/>
  <c r="AB32" i="30"/>
  <c r="AB32" i="44"/>
  <c r="AB32" i="48"/>
  <c r="AB32" i="51"/>
  <c r="A30" i="54"/>
  <c r="AB30" i="27"/>
  <c r="AB30" i="33"/>
  <c r="AB30" i="26"/>
  <c r="AB30" i="32"/>
  <c r="AB30" i="31"/>
  <c r="AB30" i="25"/>
  <c r="AB30" i="46"/>
  <c r="AB30" i="30"/>
  <c r="AB30" i="51"/>
  <c r="AB30" i="43"/>
  <c r="AB30" i="29"/>
  <c r="AB30" i="44"/>
  <c r="AB30" i="28"/>
  <c r="AB30" i="48"/>
  <c r="AB30" i="49"/>
  <c r="D30" i="54"/>
  <c r="AB30" i="54" s="1"/>
  <c r="A22" i="54"/>
  <c r="AB22" i="25"/>
  <c r="AB22" i="51"/>
  <c r="AB22" i="44"/>
  <c r="AB22" i="43"/>
  <c r="AB22" i="49"/>
  <c r="AB22" i="46"/>
  <c r="D22" i="54"/>
  <c r="A20" i="54"/>
  <c r="AB20" i="29"/>
  <c r="AB20" i="33"/>
  <c r="AB20" i="46"/>
  <c r="D20" i="54"/>
  <c r="AB20" i="44"/>
  <c r="AB20" i="51"/>
  <c r="A35" i="54"/>
  <c r="AB35" i="33"/>
  <c r="AB35" i="26"/>
  <c r="AB35" i="32"/>
  <c r="AB35" i="25"/>
  <c r="AB35" i="31"/>
  <c r="AB35" i="46"/>
  <c r="D35" i="54"/>
  <c r="AB35" i="45"/>
  <c r="AB35" i="30"/>
  <c r="AB35" i="29"/>
  <c r="AB35" i="44"/>
  <c r="AB35" i="28"/>
  <c r="AB35" i="43"/>
  <c r="AB35" i="49"/>
  <c r="AB35" i="27"/>
  <c r="AB35" i="48"/>
  <c r="AB35" i="51"/>
  <c r="A25" i="54"/>
  <c r="AB25" i="28"/>
  <c r="AB25" i="27"/>
  <c r="AB25" i="33"/>
  <c r="AB25" i="48"/>
  <c r="AB25" i="26"/>
  <c r="AB25" i="32"/>
  <c r="AB25" i="25"/>
  <c r="AB25" i="31"/>
  <c r="AB25" i="46"/>
  <c r="D25" i="54"/>
  <c r="AB25" i="30"/>
  <c r="AB25" i="45"/>
  <c r="AB25" i="51"/>
  <c r="AB25" i="29"/>
  <c r="AB25" i="44"/>
  <c r="AB25" i="49"/>
  <c r="AB25" i="43"/>
  <c r="A31" i="54"/>
  <c r="AB31" i="28"/>
  <c r="AB31" i="27"/>
  <c r="AB31" i="33"/>
  <c r="AB31" i="48"/>
  <c r="AB31" i="26"/>
  <c r="AB31" i="32"/>
  <c r="AB31" i="25"/>
  <c r="AB31" i="31"/>
  <c r="AB31" i="46"/>
  <c r="D31" i="54"/>
  <c r="AB31" i="30"/>
  <c r="AB31" i="45"/>
  <c r="AB31" i="51"/>
  <c r="AB31" i="29"/>
  <c r="AB31" i="44"/>
  <c r="AB31" i="49"/>
  <c r="AB31" i="43"/>
  <c r="A26" i="54"/>
  <c r="AB26" i="29"/>
  <c r="AB26" i="28"/>
  <c r="AB26" i="43"/>
  <c r="AB26" i="49"/>
  <c r="AB26" i="27"/>
  <c r="AB26" i="33"/>
  <c r="AB26" i="48"/>
  <c r="AB26" i="26"/>
  <c r="AB26" i="32"/>
  <c r="AB26" i="25"/>
  <c r="AB26" i="31"/>
  <c r="AB26" i="46"/>
  <c r="D26" i="54"/>
  <c r="AB26" i="30"/>
  <c r="AB26" i="45"/>
  <c r="AB26" i="51"/>
  <c r="AB26" i="44"/>
  <c r="A27" i="54"/>
  <c r="AB27" i="30"/>
  <c r="AB27" i="29"/>
  <c r="AB27" i="44"/>
  <c r="AB27" i="28"/>
  <c r="AB27" i="43"/>
  <c r="AB27" i="27"/>
  <c r="AB27" i="33"/>
  <c r="AB27" i="48"/>
  <c r="AB27" i="31"/>
  <c r="AB27" i="46"/>
  <c r="AB27" i="26"/>
  <c r="AB27" i="32"/>
  <c r="AB27" i="25"/>
  <c r="AB27" i="51"/>
  <c r="AB27" i="49"/>
  <c r="D27" i="54"/>
  <c r="AB27" i="45"/>
  <c r="A29" i="54"/>
  <c r="AB29" i="26"/>
  <c r="AB29" i="32"/>
  <c r="AB29" i="25"/>
  <c r="AB29" i="31"/>
  <c r="AB29" i="46"/>
  <c r="D29" i="54"/>
  <c r="AB29" i="54" s="1"/>
  <c r="AB29" i="30"/>
  <c r="AB29" i="45"/>
  <c r="AB29" i="29"/>
  <c r="AB29" i="44"/>
  <c r="AB29" i="27"/>
  <c r="AB29" i="33"/>
  <c r="AB29" i="28"/>
  <c r="AB29" i="43"/>
  <c r="AB29" i="49"/>
  <c r="AB29" i="48"/>
  <c r="AB29" i="51"/>
  <c r="A23" i="54"/>
  <c r="AB23" i="26"/>
  <c r="AB23" i="32"/>
  <c r="AB23" i="46"/>
  <c r="D23" i="54"/>
  <c r="AB23" i="45"/>
  <c r="AB23" i="29"/>
  <c r="AB23" i="44"/>
  <c r="AB23" i="43"/>
  <c r="AB23" i="51"/>
  <c r="AG29" i="45"/>
  <c r="F29" i="45" s="1" a="1"/>
  <c r="F29" i="45" s="1"/>
  <c r="S36" i="20" a="1"/>
  <c r="S36" i="20" s="1"/>
  <c r="S35" i="20" a="1"/>
  <c r="S35" i="20" s="1"/>
  <c r="AG25" i="45"/>
  <c r="F25" i="45" s="1" a="1"/>
  <c r="F25" i="45" s="1"/>
  <c r="X34" i="20" a="1"/>
  <c r="X34" i="20" s="1"/>
  <c r="S34" i="50" a="1"/>
  <c r="S34" i="50" s="1"/>
  <c r="X32" i="20" a="1"/>
  <c r="X32" i="20" s="1"/>
  <c r="S31" i="20" a="1"/>
  <c r="S31" i="20" s="1"/>
  <c r="I30" i="20"/>
  <c r="AG30" i="20" s="1"/>
  <c r="F30" i="20" s="1" a="1"/>
  <c r="F30" i="20" s="1"/>
  <c r="S29" i="20" a="1"/>
  <c r="S29" i="20" s="1"/>
  <c r="S28" i="20" a="1"/>
  <c r="S28" i="20" s="1"/>
  <c r="X27" i="20" a="1"/>
  <c r="X27" i="20" s="1"/>
  <c r="X26" i="20" a="1"/>
  <c r="X26" i="20" s="1"/>
  <c r="X25" i="20" a="1"/>
  <c r="X25" i="20" s="1"/>
  <c r="S24" i="20" a="1"/>
  <c r="S24" i="20" s="1"/>
  <c r="X23" i="20" a="1"/>
  <c r="X23" i="20" s="1"/>
  <c r="X22" i="20" a="1"/>
  <c r="X22" i="20" s="1"/>
  <c r="S21" i="20" a="1"/>
  <c r="S21" i="20" s="1"/>
  <c r="B8" i="53"/>
  <c r="O8" i="53" s="1" a="1"/>
  <c r="O8" i="53" s="1"/>
  <c r="S20" i="20" a="1"/>
  <c r="S20" i="20" s="1"/>
  <c r="S19" i="20" a="1"/>
  <c r="S19" i="20" s="1"/>
  <c r="Q14" i="53"/>
  <c r="P7" i="53" a="1"/>
  <c r="P7" i="53" s="1"/>
  <c r="AB19" i="46"/>
  <c r="AB19" i="45"/>
  <c r="AB20" i="25"/>
  <c r="AB19" i="32"/>
  <c r="AB34" i="20"/>
  <c r="I34" i="20"/>
  <c r="AK34" i="20" s="1"/>
  <c r="K34" i="20" s="1" a="1"/>
  <c r="K34" i="20" s="1"/>
  <c r="I31" i="20"/>
  <c r="AK31" i="20" s="1"/>
  <c r="K31" i="20" s="1" a="1"/>
  <c r="K31" i="20" s="1"/>
  <c r="I23" i="20"/>
  <c r="AK23" i="20" s="1"/>
  <c r="K23" i="20" s="1" a="1"/>
  <c r="K23" i="20" s="1"/>
  <c r="X31" i="20" a="1"/>
  <c r="X31" i="20" s="1"/>
  <c r="X28" i="20" a="1"/>
  <c r="X28" i="20" s="1"/>
  <c r="S34" i="20" a="1"/>
  <c r="S34" i="20" s="1"/>
  <c r="AB28" i="20"/>
  <c r="X20" i="20" a="1"/>
  <c r="X20" i="20" s="1"/>
  <c r="AB21" i="30"/>
  <c r="AB23" i="30"/>
  <c r="B13" i="53"/>
  <c r="O13" i="53" s="1" a="1"/>
  <c r="O13" i="53" s="1"/>
  <c r="B15" i="53"/>
  <c r="O15" i="53" s="1" a="1"/>
  <c r="O15" i="53" s="1"/>
  <c r="B14" i="53"/>
  <c r="O14" i="53" s="1" a="1"/>
  <c r="O14" i="53" s="1"/>
  <c r="B11" i="53"/>
  <c r="O11" i="53" s="1" a="1"/>
  <c r="O11" i="53" s="1"/>
  <c r="B9" i="53"/>
  <c r="O9" i="53" s="1" a="1"/>
  <c r="O9" i="53" s="1"/>
  <c r="B10" i="53"/>
  <c r="O10" i="53" s="1" a="1"/>
  <c r="O10" i="53" s="1"/>
  <c r="B17" i="53"/>
  <c r="O17" i="53" s="1" a="1"/>
  <c r="O17" i="53" s="1"/>
  <c r="B12" i="53"/>
  <c r="O12" i="53" s="1" a="1"/>
  <c r="O12" i="53" s="1"/>
  <c r="B16" i="53"/>
  <c r="O16" i="53" s="1" a="1"/>
  <c r="O16" i="53" s="1"/>
  <c r="AB23" i="27"/>
  <c r="I20" i="20"/>
  <c r="S22" i="20" a="1"/>
  <c r="S22" i="20" s="1"/>
  <c r="X36" i="20" a="1"/>
  <c r="X36" i="20" s="1"/>
  <c r="I22" i="20"/>
  <c r="AK22" i="20" s="1"/>
  <c r="K22" i="20" s="1" a="1"/>
  <c r="K22" i="20" s="1"/>
  <c r="I36" i="20"/>
  <c r="AG36" i="20" s="1"/>
  <c r="F36" i="20" s="1" a="1"/>
  <c r="F36" i="20" s="1"/>
  <c r="AB36" i="20"/>
  <c r="I32" i="20"/>
  <c r="AG32" i="20" s="1"/>
  <c r="F32" i="20" s="1" a="1"/>
  <c r="F32" i="20" s="1"/>
  <c r="I28" i="20"/>
  <c r="S32" i="20" a="1"/>
  <c r="S32" i="20" s="1"/>
  <c r="I21" i="20"/>
  <c r="AK21" i="20" s="1"/>
  <c r="K21" i="20" s="1" a="1"/>
  <c r="K21" i="20" s="1"/>
  <c r="X21" i="20" a="1"/>
  <c r="X21" i="20" s="1"/>
  <c r="X24" i="20" a="1"/>
  <c r="X24" i="20" s="1"/>
  <c r="I24" i="20"/>
  <c r="AK24" i="20" s="1"/>
  <c r="K24" i="20" s="1" a="1"/>
  <c r="K24" i="20" s="1"/>
  <c r="I25" i="20"/>
  <c r="AG25" i="20" s="1"/>
  <c r="F25" i="20" s="1" a="1"/>
  <c r="F25" i="20" s="1"/>
  <c r="S25" i="20" a="1"/>
  <c r="S25" i="20" s="1"/>
  <c r="I29" i="20"/>
  <c r="AK29" i="20" s="1"/>
  <c r="K29" i="20" s="1" a="1"/>
  <c r="K29" i="20" s="1"/>
  <c r="X29" i="20" a="1"/>
  <c r="X29" i="20" s="1"/>
  <c r="AB20" i="26"/>
  <c r="S23" i="20" a="1"/>
  <c r="S23" i="20" s="1"/>
  <c r="I26" i="20"/>
  <c r="AK26" i="20" s="1"/>
  <c r="K26" i="20" s="1" a="1"/>
  <c r="K26" i="20" s="1"/>
  <c r="I19" i="20"/>
  <c r="AK19" i="20" s="1"/>
  <c r="K19" i="20" s="1" a="1"/>
  <c r="K19" i="20" s="1"/>
  <c r="X19" i="20" a="1"/>
  <c r="X19" i="20" s="1"/>
  <c r="AB35" i="20"/>
  <c r="I35" i="20"/>
  <c r="AK35" i="20" s="1"/>
  <c r="K35" i="20" s="1" a="1"/>
  <c r="K35" i="20" s="1"/>
  <c r="S26" i="20" a="1"/>
  <c r="S26" i="20" s="1"/>
  <c r="S27" i="20" a="1"/>
  <c r="S27" i="20" s="1"/>
  <c r="S30" i="20" a="1"/>
  <c r="S30" i="20" s="1"/>
  <c r="I27" i="20"/>
  <c r="AK27" i="20" s="1"/>
  <c r="K27" i="20" s="1" a="1"/>
  <c r="K27" i="20" s="1"/>
  <c r="X30" i="20" a="1"/>
  <c r="X30" i="20" s="1"/>
  <c r="AB30" i="20"/>
  <c r="I33" i="20"/>
  <c r="AK33" i="20" s="1"/>
  <c r="K33" i="20" s="1" a="1"/>
  <c r="K33" i="20" s="1"/>
  <c r="S33" i="20" a="1"/>
  <c r="S33" i="20" s="1"/>
  <c r="X33" i="20" a="1"/>
  <c r="X33" i="20" s="1"/>
  <c r="I30" i="54"/>
  <c r="X30" i="54" a="1"/>
  <c r="X30" i="54" s="1"/>
  <c r="S30" i="54" a="1"/>
  <c r="S30" i="54" s="1"/>
  <c r="I31" i="54"/>
  <c r="X31" i="54" a="1"/>
  <c r="X31" i="54" s="1"/>
  <c r="S31" i="54" a="1"/>
  <c r="S31" i="54" s="1"/>
  <c r="X26" i="54" a="1"/>
  <c r="X26" i="54" s="1"/>
  <c r="I26" i="54"/>
  <c r="S26" i="54" a="1"/>
  <c r="S26" i="54" s="1"/>
  <c r="O30" i="54"/>
  <c r="I25" i="54"/>
  <c r="X25" i="54" a="1"/>
  <c r="X25" i="54" s="1"/>
  <c r="S25" i="54" a="1"/>
  <c r="S25" i="54" s="1"/>
  <c r="I29" i="54"/>
  <c r="X29" i="54" a="1"/>
  <c r="X29" i="54" s="1"/>
  <c r="S29" i="54" a="1"/>
  <c r="S29" i="54" s="1"/>
  <c r="I23" i="54"/>
  <c r="X23" i="54" a="1"/>
  <c r="X23" i="54" s="1"/>
  <c r="S23" i="54" a="1"/>
  <c r="S23" i="54" s="1"/>
  <c r="I27" i="54"/>
  <c r="X27" i="54" a="1"/>
  <c r="X27" i="54" s="1"/>
  <c r="S27" i="54" a="1"/>
  <c r="S27" i="54" s="1"/>
  <c r="I34" i="54"/>
  <c r="X34" i="54" a="1"/>
  <c r="X34" i="54" s="1"/>
  <c r="S34" i="54" a="1"/>
  <c r="S34" i="54" s="1"/>
  <c r="X21" i="54" a="1"/>
  <c r="X21" i="54" s="1"/>
  <c r="I21" i="54"/>
  <c r="S21" i="54" a="1"/>
  <c r="S21" i="54" s="1"/>
  <c r="I33" i="54"/>
  <c r="X33" i="54" a="1"/>
  <c r="X33" i="54" s="1"/>
  <c r="S33" i="54" a="1"/>
  <c r="S33" i="54" s="1"/>
  <c r="I36" i="54"/>
  <c r="X36" i="54" a="1"/>
  <c r="X36" i="54" s="1"/>
  <c r="S36" i="54" a="1"/>
  <c r="S36" i="54" s="1"/>
  <c r="AK19" i="54"/>
  <c r="K19" i="54" s="1" a="1"/>
  <c r="K19" i="54" s="1"/>
  <c r="AG19" i="54"/>
  <c r="F19" i="54" s="1" a="1"/>
  <c r="F19" i="54" s="1"/>
  <c r="I28" i="54"/>
  <c r="X28" i="54" a="1"/>
  <c r="X28" i="54" s="1"/>
  <c r="S28" i="54" a="1"/>
  <c r="S28" i="54" s="1"/>
  <c r="I32" i="54"/>
  <c r="X32" i="54" a="1"/>
  <c r="X32" i="54" s="1"/>
  <c r="S32" i="54" a="1"/>
  <c r="S32" i="54" s="1"/>
  <c r="X24" i="54" a="1"/>
  <c r="X24" i="54" s="1"/>
  <c r="I24" i="54"/>
  <c r="S24" i="54" a="1"/>
  <c r="S24" i="54" s="1"/>
  <c r="X22" i="54" a="1"/>
  <c r="X22" i="54" s="1"/>
  <c r="I22" i="54"/>
  <c r="S22" i="54" a="1"/>
  <c r="S22" i="54" s="1"/>
  <c r="I20" i="54"/>
  <c r="X20" i="54" a="1"/>
  <c r="X20" i="54" s="1"/>
  <c r="S20" i="54" a="1"/>
  <c r="S20" i="54" s="1"/>
  <c r="I35" i="54"/>
  <c r="X35" i="54" a="1"/>
  <c r="X35" i="54" s="1"/>
  <c r="S35" i="54" a="1"/>
  <c r="S35" i="54" s="1"/>
  <c r="X35" i="20" a="1"/>
  <c r="X35" i="20" s="1"/>
  <c r="O29" i="45"/>
  <c r="AK28" i="27"/>
  <c r="K28" i="27" s="1" a="1"/>
  <c r="K28" i="27" s="1"/>
  <c r="AB23" i="33"/>
  <c r="AB23" i="31"/>
  <c r="AB23" i="25"/>
  <c r="AB23" i="28"/>
  <c r="AB20" i="27"/>
  <c r="AB20" i="31"/>
  <c r="AB22" i="33"/>
  <c r="AB21" i="29"/>
  <c r="AB21" i="27"/>
  <c r="AB19" i="31"/>
  <c r="AB21" i="31"/>
  <c r="AB21" i="33"/>
  <c r="AB23" i="49"/>
  <c r="AB21" i="28"/>
  <c r="AB20" i="28"/>
  <c r="AB22" i="27"/>
  <c r="AB22" i="29"/>
  <c r="AB19" i="30"/>
  <c r="AB21" i="26"/>
  <c r="AB22" i="48"/>
  <c r="AB23" i="48"/>
  <c r="AB19" i="44"/>
  <c r="AB19" i="28"/>
  <c r="AB20" i="48"/>
  <c r="AB19" i="27"/>
  <c r="AB22" i="28"/>
  <c r="AB21" i="44"/>
  <c r="AB20" i="43"/>
  <c r="AB21" i="25"/>
  <c r="AB22" i="45"/>
  <c r="AB22" i="32"/>
  <c r="AB19" i="49"/>
  <c r="AB22" i="31"/>
  <c r="AB19" i="29"/>
  <c r="AB20" i="49"/>
  <c r="AB22" i="30"/>
  <c r="AB20" i="45"/>
  <c r="AB22" i="26"/>
  <c r="AB20" i="30"/>
  <c r="AB19" i="48"/>
  <c r="AB20" i="32"/>
  <c r="AB21" i="32"/>
  <c r="AB19" i="33"/>
  <c r="AB19" i="25"/>
  <c r="AG27" i="45"/>
  <c r="F27" i="45" s="1" a="1"/>
  <c r="F27" i="45" s="1"/>
  <c r="AK27" i="45"/>
  <c r="K27" i="45" s="1" a="1"/>
  <c r="K27" i="45" s="1"/>
  <c r="O34" i="31"/>
  <c r="O26" i="25"/>
  <c r="O30" i="32"/>
  <c r="O27" i="44"/>
  <c r="O30" i="44"/>
  <c r="O32" i="49"/>
  <c r="O36" i="45"/>
  <c r="O29" i="28"/>
  <c r="O23" i="51"/>
  <c r="O32" i="31"/>
  <c r="O24" i="26"/>
  <c r="O27" i="48"/>
  <c r="O28" i="48"/>
  <c r="O27" i="33"/>
  <c r="O24" i="33"/>
  <c r="O34" i="44"/>
  <c r="O30" i="29"/>
  <c r="O27" i="28"/>
  <c r="O26" i="28"/>
  <c r="O28" i="28"/>
  <c r="O26" i="51"/>
  <c r="O24" i="48"/>
  <c r="O24" i="32"/>
  <c r="O29" i="44"/>
  <c r="O26" i="29"/>
  <c r="O36" i="29"/>
  <c r="O24" i="49"/>
  <c r="O26" i="30"/>
  <c r="O31" i="46"/>
  <c r="O28" i="43"/>
  <c r="O25" i="27"/>
  <c r="O25" i="44"/>
  <c r="O30" i="49"/>
  <c r="O27" i="51"/>
  <c r="O25" i="26"/>
  <c r="O35" i="25"/>
  <c r="O33" i="32"/>
  <c r="O34" i="29"/>
  <c r="O31" i="28"/>
  <c r="O30" i="28"/>
  <c r="O31" i="30"/>
  <c r="O32" i="46"/>
  <c r="O34" i="45"/>
  <c r="O34" i="33"/>
  <c r="O31" i="29"/>
  <c r="O33" i="30"/>
  <c r="O28" i="31"/>
  <c r="O34" i="25"/>
  <c r="O31" i="32"/>
  <c r="O30" i="33"/>
  <c r="O32" i="30"/>
  <c r="O24" i="46"/>
  <c r="O24" i="45"/>
  <c r="O24" i="31"/>
  <c r="O30" i="26"/>
  <c r="O31" i="27"/>
  <c r="O35" i="28"/>
  <c r="O36" i="27"/>
  <c r="O33" i="31"/>
  <c r="O28" i="25"/>
  <c r="O34" i="27"/>
  <c r="O25" i="29"/>
  <c r="O26" i="49"/>
  <c r="O24" i="30"/>
  <c r="O33" i="43"/>
  <c r="O27" i="43"/>
  <c r="O33" i="27"/>
  <c r="O30" i="30"/>
  <c r="O36" i="26"/>
  <c r="O33" i="33"/>
  <c r="O36" i="33"/>
  <c r="O35" i="44"/>
  <c r="O36" i="44"/>
  <c r="O23" i="26"/>
  <c r="O33" i="25"/>
  <c r="O32" i="25"/>
  <c r="O36" i="32"/>
  <c r="O26" i="33"/>
  <c r="O32" i="33"/>
  <c r="O31" i="44"/>
  <c r="O33" i="28"/>
  <c r="O36" i="28"/>
  <c r="O35" i="27"/>
  <c r="O26" i="26"/>
  <c r="O29" i="25"/>
  <c r="O32" i="32"/>
  <c r="O31" i="33"/>
  <c r="O29" i="27"/>
  <c r="O30" i="46"/>
  <c r="O30" i="31"/>
  <c r="O31" i="26"/>
  <c r="O24" i="25"/>
  <c r="O31" i="25"/>
  <c r="O33" i="45"/>
  <c r="O28" i="32"/>
  <c r="O32" i="44"/>
  <c r="O33" i="29"/>
  <c r="O24" i="29"/>
  <c r="O25" i="28"/>
  <c r="O30" i="27"/>
  <c r="O31" i="45"/>
  <c r="O25" i="31"/>
  <c r="O35" i="31"/>
  <c r="O26" i="31"/>
  <c r="O26" i="27"/>
  <c r="O27" i="25"/>
  <c r="O27" i="29"/>
  <c r="O29" i="26"/>
  <c r="O32" i="26"/>
  <c r="O35" i="33"/>
  <c r="O29" i="33"/>
  <c r="O27" i="27"/>
  <c r="O35" i="29"/>
  <c r="O29" i="29"/>
  <c r="O31" i="49"/>
  <c r="O24" i="27"/>
  <c r="O34" i="51"/>
  <c r="O28" i="26"/>
  <c r="O32" i="45"/>
  <c r="O32" i="28"/>
  <c r="O25" i="25"/>
  <c r="O25" i="48"/>
  <c r="O30" i="25"/>
  <c r="O28" i="27"/>
  <c r="O28" i="29"/>
  <c r="O36" i="43"/>
  <c r="O33" i="51"/>
  <c r="O33" i="26"/>
  <c r="O34" i="26"/>
  <c r="O25" i="32"/>
  <c r="O29" i="51"/>
  <c r="O34" i="43"/>
  <c r="O31" i="43"/>
  <c r="O28" i="45"/>
  <c r="O26" i="45"/>
  <c r="O27" i="26"/>
  <c r="O36" i="25"/>
  <c r="O32" i="27"/>
  <c r="O34" i="46"/>
  <c r="O25" i="51"/>
  <c r="O35" i="26"/>
  <c r="O25" i="33"/>
  <c r="O32" i="51"/>
  <c r="O30" i="43"/>
  <c r="O35" i="32"/>
  <c r="O26" i="46"/>
  <c r="O32" i="43"/>
  <c r="O29" i="30"/>
  <c r="O35" i="43"/>
  <c r="O31" i="31"/>
  <c r="AG30" i="45"/>
  <c r="F30" i="45" s="1" a="1"/>
  <c r="F30" i="45" s="1"/>
  <c r="AK30" i="45"/>
  <c r="K30" i="45" s="1" a="1"/>
  <c r="K30" i="45" s="1"/>
  <c r="AK19" i="45"/>
  <c r="K19" i="45" s="1" a="1"/>
  <c r="K19" i="45" s="1"/>
  <c r="AG19" i="45"/>
  <c r="F19" i="45" s="1" a="1"/>
  <c r="F19" i="45" s="1"/>
  <c r="AK24" i="27"/>
  <c r="K24" i="27" s="1" a="1"/>
  <c r="K24" i="27" s="1"/>
  <c r="AG24" i="27"/>
  <c r="F24" i="27" s="1" a="1"/>
  <c r="F24" i="27" s="1"/>
  <c r="AK23" i="45"/>
  <c r="K23" i="45" s="1" a="1"/>
  <c r="K23" i="45" s="1"/>
  <c r="AG23" i="45"/>
  <c r="F23" i="45" s="1" a="1"/>
  <c r="F23" i="45" s="1"/>
  <c r="AK34" i="31"/>
  <c r="K34" i="31" s="1" a="1"/>
  <c r="K34" i="31" s="1"/>
  <c r="AG34" i="31"/>
  <c r="F34" i="31" s="1" a="1"/>
  <c r="F34" i="31" s="1"/>
  <c r="AK25" i="26"/>
  <c r="K25" i="26" s="1" a="1"/>
  <c r="K25" i="26" s="1"/>
  <c r="AG25" i="26"/>
  <c r="F25" i="26" s="1" a="1"/>
  <c r="F25" i="26" s="1"/>
  <c r="AK36" i="51"/>
  <c r="K36" i="51" s="1" a="1"/>
  <c r="K36" i="51" s="1"/>
  <c r="AG36" i="51"/>
  <c r="F36" i="51" s="1" a="1"/>
  <c r="F36" i="51" s="1"/>
  <c r="AG20" i="51"/>
  <c r="F20" i="51" s="1" a="1"/>
  <c r="F20" i="51" s="1"/>
  <c r="AK20" i="51"/>
  <c r="K20" i="51" s="1" a="1"/>
  <c r="K20" i="51" s="1"/>
  <c r="AK34" i="51"/>
  <c r="K34" i="51" s="1" a="1"/>
  <c r="K34" i="51" s="1"/>
  <c r="AG34" i="51"/>
  <c r="F34" i="51" s="1" a="1"/>
  <c r="F34" i="51" s="1"/>
  <c r="AK28" i="26"/>
  <c r="K28" i="26" s="1" a="1"/>
  <c r="K28" i="26" s="1"/>
  <c r="AG28" i="26"/>
  <c r="F28" i="26" s="1" a="1"/>
  <c r="F28" i="26" s="1"/>
  <c r="AK35" i="26"/>
  <c r="K35" i="26" s="1" a="1"/>
  <c r="K35" i="26" s="1"/>
  <c r="AG35" i="26"/>
  <c r="F35" i="26" s="1" a="1"/>
  <c r="F35" i="26" s="1"/>
  <c r="AK30" i="20"/>
  <c r="K30" i="20" s="1" a="1"/>
  <c r="K30" i="20" s="1"/>
  <c r="AK26" i="25"/>
  <c r="K26" i="25" s="1" a="1"/>
  <c r="K26" i="25" s="1"/>
  <c r="AG26" i="25"/>
  <c r="F26" i="25" s="1" a="1"/>
  <c r="F26" i="25" s="1"/>
  <c r="AK29" i="48"/>
  <c r="K29" i="48" s="1" a="1"/>
  <c r="K29" i="48" s="1"/>
  <c r="AG29" i="48"/>
  <c r="F29" i="48" s="1" a="1"/>
  <c r="F29" i="48" s="1"/>
  <c r="AK28" i="33"/>
  <c r="K28" i="33" s="1" a="1"/>
  <c r="K28" i="33" s="1"/>
  <c r="AG28" i="33"/>
  <c r="F28" i="33" s="1" a="1"/>
  <c r="F28" i="33" s="1"/>
  <c r="I30" i="50"/>
  <c r="X30" i="50" a="1"/>
  <c r="X30" i="50" s="1"/>
  <c r="I28" i="47"/>
  <c r="S28" i="47" a="1"/>
  <c r="S28" i="47" s="1"/>
  <c r="X28" i="47" a="1"/>
  <c r="X28" i="47" s="1"/>
  <c r="X19" i="47" a="1"/>
  <c r="X19" i="47" s="1"/>
  <c r="S19" i="47" a="1"/>
  <c r="S19" i="47" s="1"/>
  <c r="I19" i="47"/>
  <c r="S33" i="47" a="1"/>
  <c r="S33" i="47" s="1"/>
  <c r="I33" i="47"/>
  <c r="AB33" i="47"/>
  <c r="X33" i="47" a="1"/>
  <c r="X33" i="47" s="1"/>
  <c r="AK21" i="45"/>
  <c r="K21" i="45" s="1" a="1"/>
  <c r="K21" i="45" s="1"/>
  <c r="AG21" i="45"/>
  <c r="F21" i="45" s="1" a="1"/>
  <c r="F21" i="45" s="1"/>
  <c r="AK27" i="44"/>
  <c r="K27" i="44" s="1" a="1"/>
  <c r="K27" i="44" s="1"/>
  <c r="AG27" i="44"/>
  <c r="F27" i="44" s="1" a="1"/>
  <c r="F27" i="44" s="1"/>
  <c r="AK28" i="29"/>
  <c r="K28" i="29" s="1" a="1"/>
  <c r="K28" i="29" s="1"/>
  <c r="AG28" i="29"/>
  <c r="F28" i="29" s="1" a="1"/>
  <c r="F28" i="29" s="1"/>
  <c r="AG29" i="49"/>
  <c r="F29" i="49" s="1" a="1"/>
  <c r="F29" i="49" s="1"/>
  <c r="AK29" i="49"/>
  <c r="K29" i="49" s="1" a="1"/>
  <c r="K29" i="49" s="1"/>
  <c r="AK36" i="45"/>
  <c r="K36" i="45" s="1" a="1"/>
  <c r="K36" i="45" s="1"/>
  <c r="AG36" i="45"/>
  <c r="F36" i="45" s="1" a="1"/>
  <c r="F36" i="45" s="1"/>
  <c r="AG29" i="28"/>
  <c r="F29" i="28" s="1" a="1"/>
  <c r="F29" i="28" s="1"/>
  <c r="AK29" i="28"/>
  <c r="K29" i="28" s="1" a="1"/>
  <c r="K29" i="28" s="1"/>
  <c r="AK21" i="30"/>
  <c r="K21" i="30" s="1" a="1"/>
  <c r="K21" i="30" s="1"/>
  <c r="AG21" i="30"/>
  <c r="F21" i="30" s="1" a="1"/>
  <c r="F21" i="30" s="1"/>
  <c r="AK23" i="51"/>
  <c r="K23" i="51" s="1" a="1"/>
  <c r="K23" i="51" s="1"/>
  <c r="AG23" i="51"/>
  <c r="F23" i="51" s="1" a="1"/>
  <c r="F23" i="51" s="1"/>
  <c r="AK30" i="43"/>
  <c r="K30" i="43" s="1" a="1"/>
  <c r="K30" i="43" s="1"/>
  <c r="AG30" i="43"/>
  <c r="F30" i="43" s="1" a="1"/>
  <c r="F30" i="43" s="1"/>
  <c r="AK20" i="43"/>
  <c r="K20" i="43" s="1" a="1"/>
  <c r="K20" i="43" s="1"/>
  <c r="AG20" i="43"/>
  <c r="F20" i="43" s="1" a="1"/>
  <c r="F20" i="43" s="1"/>
  <c r="AG32" i="31"/>
  <c r="F32" i="31" s="1" a="1"/>
  <c r="F32" i="31" s="1"/>
  <c r="AK32" i="31"/>
  <c r="K32" i="31" s="1" a="1"/>
  <c r="K32" i="31" s="1"/>
  <c r="AK30" i="31"/>
  <c r="K30" i="31" s="1" a="1"/>
  <c r="K30" i="31" s="1"/>
  <c r="AG30" i="31"/>
  <c r="F30" i="31" s="1" a="1"/>
  <c r="F30" i="31" s="1"/>
  <c r="AK31" i="26"/>
  <c r="K31" i="26" s="1" a="1"/>
  <c r="K31" i="26" s="1"/>
  <c r="AG31" i="26"/>
  <c r="F31" i="26" s="1" a="1"/>
  <c r="F31" i="26" s="1"/>
  <c r="AK25" i="48"/>
  <c r="K25" i="48" s="1" a="1"/>
  <c r="K25" i="48" s="1"/>
  <c r="AG25" i="48"/>
  <c r="F25" i="48" s="1" a="1"/>
  <c r="F25" i="48" s="1"/>
  <c r="AG26" i="32"/>
  <c r="F26" i="32" s="1" a="1"/>
  <c r="F26" i="32" s="1"/>
  <c r="AK26" i="32"/>
  <c r="K26" i="32" s="1" a="1"/>
  <c r="K26" i="32" s="1"/>
  <c r="AG29" i="32"/>
  <c r="F29" i="32" s="1" a="1"/>
  <c r="F29" i="32" s="1"/>
  <c r="AK29" i="32"/>
  <c r="K29" i="32" s="1" a="1"/>
  <c r="K29" i="32" s="1"/>
  <c r="AG22" i="45"/>
  <c r="F22" i="45" s="1" a="1"/>
  <c r="F22" i="45" s="1"/>
  <c r="AK22" i="45"/>
  <c r="K22" i="45" s="1" a="1"/>
  <c r="K22" i="45" s="1"/>
  <c r="AG21" i="27"/>
  <c r="F21" i="27" s="1" a="1"/>
  <c r="F21" i="27" s="1"/>
  <c r="AK21" i="27"/>
  <c r="K21" i="27" s="1" a="1"/>
  <c r="K21" i="27" s="1"/>
  <c r="I19" i="50"/>
  <c r="X19" i="50" a="1"/>
  <c r="X19" i="50" s="1"/>
  <c r="S19" i="50" a="1"/>
  <c r="S19" i="50" s="1"/>
  <c r="AG26" i="45"/>
  <c r="F26" i="45" s="1" a="1"/>
  <c r="F26" i="45" s="1"/>
  <c r="AK26" i="45"/>
  <c r="K26" i="45" s="1" a="1"/>
  <c r="K26" i="45" s="1"/>
  <c r="AG23" i="44"/>
  <c r="F23" i="44" s="1" a="1"/>
  <c r="F23" i="44" s="1"/>
  <c r="AK23" i="44"/>
  <c r="K23" i="44" s="1" a="1"/>
  <c r="K23" i="44" s="1"/>
  <c r="AK34" i="44"/>
  <c r="K34" i="44" s="1" a="1"/>
  <c r="K34" i="44" s="1"/>
  <c r="AG34" i="44"/>
  <c r="F34" i="44" s="1" a="1"/>
  <c r="F34" i="44" s="1"/>
  <c r="AG30" i="29"/>
  <c r="F30" i="29" s="1" a="1"/>
  <c r="F30" i="29" s="1"/>
  <c r="AK30" i="29"/>
  <c r="K30" i="29" s="1" a="1"/>
  <c r="K30" i="29" s="1"/>
  <c r="AG23" i="49"/>
  <c r="F23" i="49" s="1" a="1"/>
  <c r="F23" i="49" s="1"/>
  <c r="AK23" i="49"/>
  <c r="K23" i="49" s="1" a="1"/>
  <c r="K23" i="49" s="1"/>
  <c r="AK25" i="28"/>
  <c r="K25" i="28" s="1" a="1"/>
  <c r="K25" i="28" s="1"/>
  <c r="AG25" i="28"/>
  <c r="F25" i="28" s="1" a="1"/>
  <c r="F25" i="28" s="1"/>
  <c r="AG27" i="28"/>
  <c r="F27" i="28" s="1" a="1"/>
  <c r="F27" i="28" s="1"/>
  <c r="AK27" i="28"/>
  <c r="K27" i="28" s="1" a="1"/>
  <c r="K27" i="28" s="1"/>
  <c r="AK28" i="28"/>
  <c r="K28" i="28" s="1" a="1"/>
  <c r="K28" i="28" s="1"/>
  <c r="AG28" i="28"/>
  <c r="F28" i="28" s="1" a="1"/>
  <c r="F28" i="28" s="1"/>
  <c r="AK35" i="46"/>
  <c r="K35" i="46" s="1" a="1"/>
  <c r="K35" i="46" s="1"/>
  <c r="AG35" i="46"/>
  <c r="F35" i="46" s="1" a="1"/>
  <c r="F35" i="46" s="1"/>
  <c r="AK26" i="51"/>
  <c r="K26" i="51" s="1" a="1"/>
  <c r="K26" i="51" s="1"/>
  <c r="AG26" i="51"/>
  <c r="F26" i="51" s="1" a="1"/>
  <c r="F26" i="51" s="1"/>
  <c r="AG29" i="43"/>
  <c r="F29" i="43" s="1" a="1"/>
  <c r="F29" i="43" s="1"/>
  <c r="AK29" i="43"/>
  <c r="K29" i="43" s="1" a="1"/>
  <c r="K29" i="43" s="1"/>
  <c r="AG20" i="26"/>
  <c r="F20" i="26" s="1" a="1"/>
  <c r="F20" i="26" s="1"/>
  <c r="AK20" i="26"/>
  <c r="K20" i="26" s="1" a="1"/>
  <c r="K20" i="26" s="1"/>
  <c r="AG20" i="25"/>
  <c r="F20" i="25" s="1" a="1"/>
  <c r="F20" i="25" s="1"/>
  <c r="AK20" i="25"/>
  <c r="K20" i="25" s="1" a="1"/>
  <c r="K20" i="25" s="1"/>
  <c r="AK34" i="48"/>
  <c r="K34" i="48" s="1" a="1"/>
  <c r="K34" i="48" s="1"/>
  <c r="AG34" i="48"/>
  <c r="F34" i="48" s="1" a="1"/>
  <c r="F34" i="48" s="1"/>
  <c r="AG21" i="48"/>
  <c r="F21" i="48" s="1" a="1"/>
  <c r="F21" i="48" s="1"/>
  <c r="AK21" i="48"/>
  <c r="K21" i="48" s="1" a="1"/>
  <c r="K21" i="48" s="1"/>
  <c r="AK24" i="48"/>
  <c r="K24" i="48" s="1" a="1"/>
  <c r="K24" i="48" s="1"/>
  <c r="AG24" i="48"/>
  <c r="F24" i="48" s="1" a="1"/>
  <c r="F24" i="48" s="1"/>
  <c r="AG24" i="32"/>
  <c r="F24" i="32" s="1" a="1"/>
  <c r="F24" i="32" s="1"/>
  <c r="AK24" i="32"/>
  <c r="K24" i="32" s="1" a="1"/>
  <c r="K24" i="32" s="1"/>
  <c r="AG22" i="32"/>
  <c r="F22" i="32" s="1" a="1"/>
  <c r="F22" i="32" s="1"/>
  <c r="AK22" i="32"/>
  <c r="K22" i="32" s="1" a="1"/>
  <c r="K22" i="32" s="1"/>
  <c r="AK36" i="33"/>
  <c r="K36" i="33" s="1" a="1"/>
  <c r="K36" i="33" s="1"/>
  <c r="AG36" i="33"/>
  <c r="F36" i="33" s="1" a="1"/>
  <c r="F36" i="33" s="1"/>
  <c r="AB24" i="50"/>
  <c r="S24" i="50" a="1"/>
  <c r="S24" i="50" s="1"/>
  <c r="I24" i="50"/>
  <c r="X24" i="50" a="1"/>
  <c r="X24" i="50" s="1"/>
  <c r="X22" i="50" a="1"/>
  <c r="X22" i="50" s="1"/>
  <c r="S22" i="50" a="1"/>
  <c r="S22" i="50" s="1"/>
  <c r="I22" i="50"/>
  <c r="X20" i="47" a="1"/>
  <c r="X20" i="47" s="1"/>
  <c r="S20" i="47" a="1"/>
  <c r="S20" i="47" s="1"/>
  <c r="I20" i="47"/>
  <c r="AG36" i="29"/>
  <c r="F36" i="29" s="1" a="1"/>
  <c r="F36" i="29" s="1"/>
  <c r="AK36" i="29"/>
  <c r="K36" i="29" s="1" a="1"/>
  <c r="K36" i="29" s="1"/>
  <c r="AG23" i="29"/>
  <c r="F23" i="29" s="1" a="1"/>
  <c r="F23" i="29" s="1"/>
  <c r="AK23" i="29"/>
  <c r="K23" i="29" s="1" a="1"/>
  <c r="K23" i="29" s="1"/>
  <c r="AK24" i="49"/>
  <c r="K24" i="49" s="1" a="1"/>
  <c r="K24" i="49" s="1"/>
  <c r="AG24" i="49"/>
  <c r="F24" i="49" s="1" a="1"/>
  <c r="F24" i="49" s="1"/>
  <c r="AG35" i="49"/>
  <c r="F35" i="49" s="1" a="1"/>
  <c r="F35" i="49" s="1"/>
  <c r="AK35" i="49"/>
  <c r="K35" i="49" s="1" a="1"/>
  <c r="K35" i="49" s="1"/>
  <c r="AG22" i="28"/>
  <c r="F22" i="28" s="1" a="1"/>
  <c r="F22" i="28" s="1"/>
  <c r="AK22" i="28"/>
  <c r="K22" i="28" s="1" a="1"/>
  <c r="K22" i="28" s="1"/>
  <c r="AK20" i="28"/>
  <c r="K20" i="28" s="1" a="1"/>
  <c r="K20" i="28" s="1"/>
  <c r="AG20" i="28"/>
  <c r="F20" i="28" s="1" a="1"/>
  <c r="F20" i="28" s="1"/>
  <c r="AK26" i="30"/>
  <c r="K26" i="30" s="1" a="1"/>
  <c r="K26" i="30" s="1"/>
  <c r="AG26" i="30"/>
  <c r="F26" i="30" s="1" a="1"/>
  <c r="F26" i="30" s="1"/>
  <c r="S30" i="50" a="1"/>
  <c r="S30" i="50" s="1"/>
  <c r="AG29" i="51"/>
  <c r="F29" i="51" s="1" a="1"/>
  <c r="F29" i="51" s="1"/>
  <c r="AK29" i="51"/>
  <c r="K29" i="51" s="1" a="1"/>
  <c r="K29" i="51" s="1"/>
  <c r="AG24" i="45"/>
  <c r="F24" i="45" s="1" a="1"/>
  <c r="F24" i="45" s="1"/>
  <c r="AK24" i="45"/>
  <c r="K24" i="45" s="1" a="1"/>
  <c r="K24" i="45" s="1"/>
  <c r="AG32" i="26"/>
  <c r="F32" i="26" s="1" a="1"/>
  <c r="F32" i="26" s="1"/>
  <c r="AK32" i="26"/>
  <c r="K32" i="26" s="1" a="1"/>
  <c r="K32" i="26" s="1"/>
  <c r="AG30" i="26"/>
  <c r="F30" i="26" s="1" a="1"/>
  <c r="F30" i="26" s="1"/>
  <c r="AK30" i="26"/>
  <c r="K30" i="26" s="1" a="1"/>
  <c r="K30" i="26" s="1"/>
  <c r="AK35" i="48"/>
  <c r="K35" i="48" s="1" a="1"/>
  <c r="K35" i="48" s="1"/>
  <c r="AG35" i="48"/>
  <c r="F35" i="48" s="1" a="1"/>
  <c r="F35" i="48" s="1"/>
  <c r="AG19" i="48"/>
  <c r="F19" i="48" s="1" a="1"/>
  <c r="F19" i="48" s="1"/>
  <c r="AK19" i="48"/>
  <c r="K19" i="48" s="1" a="1"/>
  <c r="K19" i="48" s="1"/>
  <c r="AK30" i="48"/>
  <c r="K30" i="48" s="1" a="1"/>
  <c r="K30" i="48" s="1"/>
  <c r="AG30" i="48"/>
  <c r="F30" i="48" s="1" a="1"/>
  <c r="F30" i="48" s="1"/>
  <c r="AK21" i="32"/>
  <c r="K21" i="32" s="1" a="1"/>
  <c r="K21" i="32" s="1"/>
  <c r="AG21" i="32"/>
  <c r="F21" i="32" s="1" a="1"/>
  <c r="F21" i="32" s="1"/>
  <c r="AK31" i="27"/>
  <c r="K31" i="27" s="1" a="1"/>
  <c r="K31" i="27" s="1"/>
  <c r="AG31" i="27"/>
  <c r="F31" i="27" s="1" a="1"/>
  <c r="F31" i="27" s="1"/>
  <c r="I36" i="50"/>
  <c r="S36" i="50" a="1"/>
  <c r="S36" i="50" s="1"/>
  <c r="X36" i="50" a="1"/>
  <c r="X36" i="50" s="1"/>
  <c r="X32" i="47" a="1"/>
  <c r="X32" i="47" s="1"/>
  <c r="S32" i="47" a="1"/>
  <c r="S32" i="47" s="1"/>
  <c r="I32" i="47"/>
  <c r="X30" i="47" a="1"/>
  <c r="X30" i="47" s="1"/>
  <c r="I30" i="47"/>
  <c r="S30" i="47" a="1"/>
  <c r="S30" i="47" s="1"/>
  <c r="AG25" i="44"/>
  <c r="F25" i="44" s="1" a="1"/>
  <c r="F25" i="44" s="1"/>
  <c r="AK25" i="44"/>
  <c r="K25" i="44" s="1" a="1"/>
  <c r="K25" i="44" s="1"/>
  <c r="AK22" i="29"/>
  <c r="K22" i="29" s="1" a="1"/>
  <c r="K22" i="29" s="1"/>
  <c r="AG22" i="29"/>
  <c r="F22" i="29" s="1" a="1"/>
  <c r="F22" i="29" s="1"/>
  <c r="AK35" i="29"/>
  <c r="K35" i="29" s="1" a="1"/>
  <c r="K35" i="29" s="1"/>
  <c r="AG35" i="29"/>
  <c r="F35" i="29" s="1" a="1"/>
  <c r="F35" i="29" s="1"/>
  <c r="AK29" i="29"/>
  <c r="K29" i="29" s="1" a="1"/>
  <c r="K29" i="29" s="1"/>
  <c r="AG29" i="29"/>
  <c r="F29" i="29" s="1" a="1"/>
  <c r="F29" i="29" s="1"/>
  <c r="AK19" i="29"/>
  <c r="K19" i="29" s="1" a="1"/>
  <c r="K19" i="29" s="1"/>
  <c r="AG19" i="29"/>
  <c r="F19" i="29" s="1" a="1"/>
  <c r="F19" i="29" s="1"/>
  <c r="AK31" i="49"/>
  <c r="K31" i="49" s="1" a="1"/>
  <c r="K31" i="49" s="1"/>
  <c r="AG31" i="49"/>
  <c r="F31" i="49" s="1" a="1"/>
  <c r="F31" i="49" s="1"/>
  <c r="AG35" i="28"/>
  <c r="F35" i="28" s="1" a="1"/>
  <c r="F35" i="28" s="1"/>
  <c r="AK35" i="28"/>
  <c r="K35" i="28" s="1" a="1"/>
  <c r="K35" i="28" s="1"/>
  <c r="AG25" i="30"/>
  <c r="F25" i="30" s="1" a="1"/>
  <c r="F25" i="30" s="1"/>
  <c r="AK25" i="30"/>
  <c r="K25" i="30" s="1" a="1"/>
  <c r="K25" i="30" s="1"/>
  <c r="AG19" i="30"/>
  <c r="F19" i="30" s="1" a="1"/>
  <c r="F19" i="30" s="1"/>
  <c r="AK19" i="30"/>
  <c r="K19" i="30" s="1" a="1"/>
  <c r="K19" i="30" s="1"/>
  <c r="AK29" i="46"/>
  <c r="K29" i="46" s="1" a="1"/>
  <c r="K29" i="46" s="1"/>
  <c r="AG29" i="46"/>
  <c r="F29" i="46" s="1" a="1"/>
  <c r="F29" i="46" s="1"/>
  <c r="AG27" i="51"/>
  <c r="F27" i="51" s="1" a="1"/>
  <c r="F27" i="51" s="1"/>
  <c r="AK27" i="51"/>
  <c r="K27" i="51" s="1" a="1"/>
  <c r="K27" i="51" s="1"/>
  <c r="AG21" i="43"/>
  <c r="F21" i="43" s="1" a="1"/>
  <c r="F21" i="43" s="1"/>
  <c r="AK21" i="43"/>
  <c r="K21" i="43" s="1" a="1"/>
  <c r="K21" i="43" s="1"/>
  <c r="AK24" i="43"/>
  <c r="K24" i="43" s="1" a="1"/>
  <c r="K24" i="43" s="1"/>
  <c r="AG24" i="43"/>
  <c r="F24" i="43" s="1" a="1"/>
  <c r="F24" i="43" s="1"/>
  <c r="AK35" i="25"/>
  <c r="K35" i="25" s="1" a="1"/>
  <c r="K35" i="25" s="1"/>
  <c r="AG35" i="25"/>
  <c r="F35" i="25" s="1" a="1"/>
  <c r="F35" i="25" s="1"/>
  <c r="AK19" i="25"/>
  <c r="K19" i="25" s="1" a="1"/>
  <c r="K19" i="25" s="1"/>
  <c r="AG19" i="25"/>
  <c r="F19" i="25" s="1" a="1"/>
  <c r="F19" i="25" s="1"/>
  <c r="AK31" i="48"/>
  <c r="K31" i="48" s="1" a="1"/>
  <c r="K31" i="48" s="1"/>
  <c r="AG31" i="48"/>
  <c r="F31" i="48" s="1" a="1"/>
  <c r="F31" i="48" s="1"/>
  <c r="AK26" i="48"/>
  <c r="K26" i="48" s="1" a="1"/>
  <c r="K26" i="48" s="1"/>
  <c r="AG26" i="48"/>
  <c r="F26" i="48" s="1" a="1"/>
  <c r="F26" i="48" s="1"/>
  <c r="AG23" i="32"/>
  <c r="F23" i="32" s="1" a="1"/>
  <c r="F23" i="32" s="1"/>
  <c r="AK23" i="32"/>
  <c r="K23" i="32" s="1" a="1"/>
  <c r="K23" i="32" s="1"/>
  <c r="AG30" i="32"/>
  <c r="F30" i="32" s="1" a="1"/>
  <c r="F30" i="32" s="1"/>
  <c r="AK30" i="32"/>
  <c r="K30" i="32" s="1" a="1"/>
  <c r="K30" i="32" s="1"/>
  <c r="AG33" i="32"/>
  <c r="F33" i="32" s="1" a="1"/>
  <c r="F33" i="32" s="1"/>
  <c r="AK33" i="32"/>
  <c r="K33" i="32" s="1" a="1"/>
  <c r="K33" i="32" s="1"/>
  <c r="AK28" i="45"/>
  <c r="K28" i="45" s="1" a="1"/>
  <c r="K28" i="45" s="1"/>
  <c r="AG28" i="45"/>
  <c r="F28" i="45" s="1" a="1"/>
  <c r="F28" i="45" s="1"/>
  <c r="AK31" i="33"/>
  <c r="K31" i="33" s="1" a="1"/>
  <c r="K31" i="33" s="1"/>
  <c r="AG31" i="33"/>
  <c r="F31" i="33" s="1" a="1"/>
  <c r="F31" i="33" s="1"/>
  <c r="AG30" i="44"/>
  <c r="F30" i="44" s="1" a="1"/>
  <c r="F30" i="44" s="1"/>
  <c r="AK30" i="44"/>
  <c r="K30" i="44" s="1" a="1"/>
  <c r="K30" i="44" s="1"/>
  <c r="AK34" i="29"/>
  <c r="K34" i="29" s="1" a="1"/>
  <c r="K34" i="29" s="1"/>
  <c r="AG34" i="29"/>
  <c r="F34" i="29" s="1" a="1"/>
  <c r="F34" i="29" s="1"/>
  <c r="AG32" i="49"/>
  <c r="F32" i="49" s="1" a="1"/>
  <c r="F32" i="49" s="1"/>
  <c r="AK32" i="49"/>
  <c r="K32" i="49" s="1" a="1"/>
  <c r="K32" i="49" s="1"/>
  <c r="AK32" i="28"/>
  <c r="K32" i="28" s="1" a="1"/>
  <c r="K32" i="28" s="1"/>
  <c r="AG32" i="28"/>
  <c r="F32" i="28" s="1" a="1"/>
  <c r="F32" i="28" s="1"/>
  <c r="AG31" i="28"/>
  <c r="F31" i="28" s="1" a="1"/>
  <c r="F31" i="28" s="1"/>
  <c r="AK31" i="28"/>
  <c r="K31" i="28" s="1" a="1"/>
  <c r="K31" i="28" s="1"/>
  <c r="AK31" i="30"/>
  <c r="K31" i="30" s="1" a="1"/>
  <c r="K31" i="30" s="1"/>
  <c r="AG31" i="30"/>
  <c r="F31" i="30" s="1" a="1"/>
  <c r="F31" i="30" s="1"/>
  <c r="AG32" i="46"/>
  <c r="F32" i="46" s="1" a="1"/>
  <c r="F32" i="46" s="1"/>
  <c r="AK32" i="46"/>
  <c r="K32" i="46" s="1" a="1"/>
  <c r="K32" i="46" s="1"/>
  <c r="AG36" i="43"/>
  <c r="F36" i="43" s="1" a="1"/>
  <c r="F36" i="43" s="1"/>
  <c r="AK36" i="43"/>
  <c r="K36" i="43" s="1" a="1"/>
  <c r="K36" i="43" s="1"/>
  <c r="AG20" i="27"/>
  <c r="F20" i="27" s="1" a="1"/>
  <c r="F20" i="27" s="1"/>
  <c r="AK20" i="27"/>
  <c r="K20" i="27" s="1" a="1"/>
  <c r="K20" i="27" s="1"/>
  <c r="AG23" i="31"/>
  <c r="F23" i="31" s="1" a="1"/>
  <c r="F23" i="31" s="1"/>
  <c r="AK23" i="31"/>
  <c r="K23" i="31" s="1" a="1"/>
  <c r="K23" i="31" s="1"/>
  <c r="AK22" i="25"/>
  <c r="K22" i="25" s="1" a="1"/>
  <c r="K22" i="25" s="1"/>
  <c r="AG22" i="25"/>
  <c r="F22" i="25" s="1" a="1"/>
  <c r="F22" i="25" s="1"/>
  <c r="AK35" i="32"/>
  <c r="K35" i="32" s="1" a="1"/>
  <c r="K35" i="32" s="1"/>
  <c r="AG35" i="32"/>
  <c r="F35" i="32" s="1" a="1"/>
  <c r="F35" i="32" s="1"/>
  <c r="AG19" i="32"/>
  <c r="F19" i="32" s="1" a="1"/>
  <c r="F19" i="32" s="1"/>
  <c r="AK19" i="32"/>
  <c r="K19" i="32" s="1" a="1"/>
  <c r="K19" i="32" s="1"/>
  <c r="AG21" i="33"/>
  <c r="F21" i="33" s="1" a="1"/>
  <c r="F21" i="33" s="1"/>
  <c r="AK21" i="33"/>
  <c r="K21" i="33" s="1" a="1"/>
  <c r="K21" i="33" s="1"/>
  <c r="AK24" i="33"/>
  <c r="K24" i="33" s="1" a="1"/>
  <c r="K24" i="33" s="1"/>
  <c r="AG24" i="33"/>
  <c r="F24" i="33" s="1" a="1"/>
  <c r="F24" i="33" s="1"/>
  <c r="I26" i="50"/>
  <c r="S26" i="50" a="1"/>
  <c r="S26" i="50" s="1"/>
  <c r="X26" i="50" a="1"/>
  <c r="X26" i="50" s="1"/>
  <c r="X31" i="47" a="1"/>
  <c r="X31" i="47" s="1"/>
  <c r="I31" i="47"/>
  <c r="S31" i="47" a="1"/>
  <c r="S31" i="47" s="1"/>
  <c r="I29" i="47"/>
  <c r="AB29" i="47"/>
  <c r="X29" i="47" a="1"/>
  <c r="X29" i="47" s="1"/>
  <c r="S29" i="47" a="1"/>
  <c r="S29" i="47" s="1"/>
  <c r="AK33" i="29"/>
  <c r="K33" i="29" s="1" a="1"/>
  <c r="K33" i="29" s="1"/>
  <c r="AG33" i="29"/>
  <c r="F33" i="29" s="1" a="1"/>
  <c r="F33" i="29" s="1"/>
  <c r="AK22" i="49"/>
  <c r="K22" i="49" s="1" a="1"/>
  <c r="K22" i="49" s="1"/>
  <c r="AG22" i="49"/>
  <c r="F22" i="49" s="1" a="1"/>
  <c r="F22" i="49" s="1"/>
  <c r="AK33" i="30"/>
  <c r="K33" i="30" s="1" a="1"/>
  <c r="K33" i="30" s="1"/>
  <c r="AG33" i="30"/>
  <c r="F33" i="30" s="1" a="1"/>
  <c r="F33" i="30" s="1"/>
  <c r="AK27" i="30"/>
  <c r="K27" i="30" s="1" a="1"/>
  <c r="K27" i="30" s="1"/>
  <c r="AG27" i="30"/>
  <c r="F27" i="30" s="1" a="1"/>
  <c r="F27" i="30" s="1"/>
  <c r="AK21" i="46"/>
  <c r="K21" i="46" s="1" a="1"/>
  <c r="K21" i="46" s="1"/>
  <c r="AG21" i="46"/>
  <c r="F21" i="46" s="1" a="1"/>
  <c r="F21" i="46" s="1"/>
  <c r="AG19" i="46"/>
  <c r="F19" i="46" s="1" a="1"/>
  <c r="F19" i="46" s="1"/>
  <c r="AK19" i="46"/>
  <c r="K19" i="46" s="1" a="1"/>
  <c r="K19" i="46" s="1"/>
  <c r="AG28" i="51"/>
  <c r="F28" i="51" s="1" a="1"/>
  <c r="F28" i="51" s="1"/>
  <c r="AK28" i="51"/>
  <c r="K28" i="51" s="1" a="1"/>
  <c r="K28" i="51" s="1"/>
  <c r="AK26" i="43"/>
  <c r="K26" i="43" s="1" a="1"/>
  <c r="K26" i="43" s="1"/>
  <c r="AG26" i="43"/>
  <c r="F26" i="43" s="1" a="1"/>
  <c r="F26" i="43" s="1"/>
  <c r="AG23" i="43"/>
  <c r="F23" i="43" s="1" a="1"/>
  <c r="F23" i="43" s="1"/>
  <c r="AK23" i="43"/>
  <c r="K23" i="43" s="1" a="1"/>
  <c r="K23" i="43" s="1"/>
  <c r="AK28" i="31"/>
  <c r="K28" i="31" s="1" a="1"/>
  <c r="K28" i="31" s="1"/>
  <c r="AG28" i="31"/>
  <c r="F28" i="31" s="1" a="1"/>
  <c r="F28" i="31" s="1"/>
  <c r="AK19" i="31"/>
  <c r="K19" i="31" s="1" a="1"/>
  <c r="K19" i="31" s="1"/>
  <c r="AG19" i="31"/>
  <c r="F19" i="31" s="1" a="1"/>
  <c r="F19" i="31" s="1"/>
  <c r="AK26" i="31"/>
  <c r="K26" i="31" s="1" a="1"/>
  <c r="K26" i="31" s="1"/>
  <c r="AG26" i="31"/>
  <c r="F26" i="31" s="1" a="1"/>
  <c r="F26" i="31" s="1"/>
  <c r="AG26" i="27"/>
  <c r="F26" i="27" s="1" a="1"/>
  <c r="F26" i="27" s="1"/>
  <c r="AK26" i="27"/>
  <c r="K26" i="27" s="1" a="1"/>
  <c r="K26" i="27" s="1"/>
  <c r="AK33" i="26"/>
  <c r="K33" i="26" s="1" a="1"/>
  <c r="K33" i="26" s="1"/>
  <c r="AG33" i="26"/>
  <c r="F33" i="26" s="1" a="1"/>
  <c r="F33" i="26" s="1"/>
  <c r="AK34" i="26"/>
  <c r="K34" i="26" s="1" a="1"/>
  <c r="K34" i="26" s="1"/>
  <c r="AG34" i="26"/>
  <c r="F34" i="26" s="1" a="1"/>
  <c r="F34" i="26" s="1"/>
  <c r="AK34" i="25"/>
  <c r="K34" i="25" s="1" a="1"/>
  <c r="K34" i="25" s="1"/>
  <c r="AG34" i="25"/>
  <c r="F34" i="25" s="1" a="1"/>
  <c r="F34" i="25" s="1"/>
  <c r="AG31" i="32"/>
  <c r="F31" i="32" s="1" a="1"/>
  <c r="F31" i="32" s="1"/>
  <c r="AK31" i="32"/>
  <c r="K31" i="32" s="1" a="1"/>
  <c r="K31" i="32" s="1"/>
  <c r="AK23" i="33"/>
  <c r="K23" i="33" s="1" a="1"/>
  <c r="K23" i="33" s="1"/>
  <c r="AG23" i="33"/>
  <c r="F23" i="33" s="1" a="1"/>
  <c r="F23" i="33" s="1"/>
  <c r="AK30" i="33"/>
  <c r="K30" i="33" s="1" a="1"/>
  <c r="K30" i="33" s="1"/>
  <c r="AG30" i="33"/>
  <c r="F30" i="33" s="1" a="1"/>
  <c r="F30" i="33" s="1"/>
  <c r="S34" i="47" a="1"/>
  <c r="S34" i="47" s="1"/>
  <c r="AB34" i="47"/>
  <c r="I34" i="47"/>
  <c r="X34" i="47" a="1"/>
  <c r="X34" i="47" s="1"/>
  <c r="AK29" i="44"/>
  <c r="K29" i="44" s="1" a="1"/>
  <c r="K29" i="44" s="1"/>
  <c r="AG29" i="44"/>
  <c r="F29" i="44" s="1" a="1"/>
  <c r="F29" i="44" s="1"/>
  <c r="AK24" i="44"/>
  <c r="K24" i="44" s="1" a="1"/>
  <c r="K24" i="44" s="1"/>
  <c r="AG24" i="44"/>
  <c r="F24" i="44" s="1" a="1"/>
  <c r="F24" i="44" s="1"/>
  <c r="AK26" i="29"/>
  <c r="K26" i="29" s="1" a="1"/>
  <c r="K26" i="29" s="1"/>
  <c r="AG26" i="29"/>
  <c r="F26" i="29" s="1" a="1"/>
  <c r="F26" i="29" s="1"/>
  <c r="AG20" i="29"/>
  <c r="F20" i="29" s="1" a="1"/>
  <c r="F20" i="29" s="1"/>
  <c r="AK20" i="29"/>
  <c r="K20" i="29" s="1" a="1"/>
  <c r="K20" i="29" s="1"/>
  <c r="AK27" i="29"/>
  <c r="K27" i="29" s="1" a="1"/>
  <c r="K27" i="29" s="1"/>
  <c r="AG27" i="29"/>
  <c r="F27" i="29" s="1" a="1"/>
  <c r="F27" i="29" s="1"/>
  <c r="AG34" i="49"/>
  <c r="F34" i="49" s="1" a="1"/>
  <c r="F34" i="49" s="1"/>
  <c r="AK34" i="49"/>
  <c r="K34" i="49" s="1" a="1"/>
  <c r="K34" i="49" s="1"/>
  <c r="AG21" i="49"/>
  <c r="F21" i="49" s="1" a="1"/>
  <c r="F21" i="49" s="1"/>
  <c r="AK21" i="49"/>
  <c r="K21" i="49" s="1" a="1"/>
  <c r="K21" i="49" s="1"/>
  <c r="AK21" i="28"/>
  <c r="K21" i="28" s="1" a="1"/>
  <c r="K21" i="28" s="1"/>
  <c r="AG21" i="28"/>
  <c r="F21" i="28" s="1" a="1"/>
  <c r="F21" i="28" s="1"/>
  <c r="AK32" i="30"/>
  <c r="K32" i="30" s="1" a="1"/>
  <c r="K32" i="30" s="1"/>
  <c r="AG32" i="30"/>
  <c r="F32" i="30" s="1" a="1"/>
  <c r="F32" i="30" s="1"/>
  <c r="AG24" i="46"/>
  <c r="F24" i="46" s="1" a="1"/>
  <c r="F24" i="46" s="1"/>
  <c r="AK24" i="46"/>
  <c r="K24" i="46" s="1" a="1"/>
  <c r="K24" i="46" s="1"/>
  <c r="AG24" i="51"/>
  <c r="F24" i="51" s="1" a="1"/>
  <c r="F24" i="51" s="1"/>
  <c r="AK24" i="51"/>
  <c r="K24" i="51" s="1" a="1"/>
  <c r="K24" i="51" s="1"/>
  <c r="AK31" i="51"/>
  <c r="K31" i="51" s="1" a="1"/>
  <c r="K31" i="51" s="1"/>
  <c r="AG31" i="51"/>
  <c r="F31" i="51" s="1" a="1"/>
  <c r="F31" i="51" s="1"/>
  <c r="AK25" i="43"/>
  <c r="K25" i="43" s="1" a="1"/>
  <c r="K25" i="43" s="1"/>
  <c r="AG25" i="43"/>
  <c r="F25" i="43" s="1" a="1"/>
  <c r="F25" i="43" s="1"/>
  <c r="AG19" i="43"/>
  <c r="F19" i="43" s="1" a="1"/>
  <c r="F19" i="43" s="1"/>
  <c r="AK19" i="43"/>
  <c r="K19" i="43" s="1" a="1"/>
  <c r="K19" i="43" s="1"/>
  <c r="AG24" i="31"/>
  <c r="F24" i="31" s="1" a="1"/>
  <c r="F24" i="31" s="1"/>
  <c r="AK24" i="31"/>
  <c r="K24" i="31" s="1" a="1"/>
  <c r="K24" i="31" s="1"/>
  <c r="AK33" i="25"/>
  <c r="K33" i="25" s="1" a="1"/>
  <c r="K33" i="25" s="1"/>
  <c r="AG33" i="25"/>
  <c r="F33" i="25" s="1" a="1"/>
  <c r="F33" i="25" s="1"/>
  <c r="AK23" i="25"/>
  <c r="K23" i="25" s="1" a="1"/>
  <c r="K23" i="25" s="1"/>
  <c r="AG23" i="25"/>
  <c r="F23" i="25" s="1" a="1"/>
  <c r="F23" i="25" s="1"/>
  <c r="AK20" i="48"/>
  <c r="K20" i="48" s="1" a="1"/>
  <c r="K20" i="48" s="1"/>
  <c r="AG20" i="48"/>
  <c r="F20" i="48" s="1" a="1"/>
  <c r="F20" i="48" s="1"/>
  <c r="AK36" i="32"/>
  <c r="K36" i="32" s="1" a="1"/>
  <c r="K36" i="32" s="1"/>
  <c r="AG36" i="32"/>
  <c r="F36" i="32" s="1" a="1"/>
  <c r="F36" i="32" s="1"/>
  <c r="AK27" i="32"/>
  <c r="K27" i="32" s="1" a="1"/>
  <c r="K27" i="32" s="1"/>
  <c r="AG27" i="32"/>
  <c r="F27" i="32" s="1" a="1"/>
  <c r="F27" i="32" s="1"/>
  <c r="AK19" i="33"/>
  <c r="K19" i="33" s="1" a="1"/>
  <c r="K19" i="33" s="1"/>
  <c r="AG19" i="33"/>
  <c r="F19" i="33" s="1" a="1"/>
  <c r="F19" i="33" s="1"/>
  <c r="AK26" i="33"/>
  <c r="K26" i="33" s="1" a="1"/>
  <c r="K26" i="33" s="1"/>
  <c r="AG26" i="33"/>
  <c r="F26" i="33" s="1" a="1"/>
  <c r="F26" i="33" s="1"/>
  <c r="I20" i="50"/>
  <c r="S20" i="50" a="1"/>
  <c r="S20" i="50" s="1"/>
  <c r="X20" i="50" a="1"/>
  <c r="X20" i="50" s="1"/>
  <c r="AB34" i="50"/>
  <c r="X34" i="50" a="1"/>
  <c r="X34" i="50" s="1"/>
  <c r="I34" i="50"/>
  <c r="AB23" i="47"/>
  <c r="S23" i="47" a="1"/>
  <c r="S23" i="47" s="1"/>
  <c r="X23" i="47" a="1"/>
  <c r="X23" i="47" s="1"/>
  <c r="I23" i="47"/>
  <c r="AG31" i="44"/>
  <c r="F31" i="44" s="1" a="1"/>
  <c r="F31" i="44" s="1"/>
  <c r="AK31" i="44"/>
  <c r="K31" i="44" s="1" a="1"/>
  <c r="K31" i="44" s="1"/>
  <c r="AK28" i="44"/>
  <c r="K28" i="44" s="1" a="1"/>
  <c r="K28" i="44" s="1"/>
  <c r="AG28" i="44"/>
  <c r="F28" i="44" s="1" a="1"/>
  <c r="F28" i="44" s="1"/>
  <c r="AG36" i="49"/>
  <c r="F36" i="49" s="1" a="1"/>
  <c r="F36" i="49" s="1"/>
  <c r="AK36" i="49"/>
  <c r="K36" i="49" s="1" a="1"/>
  <c r="K36" i="49" s="1"/>
  <c r="AK36" i="28"/>
  <c r="K36" i="28" s="1" a="1"/>
  <c r="K36" i="28" s="1"/>
  <c r="AG36" i="28"/>
  <c r="F36" i="28" s="1" a="1"/>
  <c r="F36" i="28" s="1"/>
  <c r="AK28" i="30"/>
  <c r="K28" i="30" s="1" a="1"/>
  <c r="K28" i="30" s="1"/>
  <c r="AG28" i="30"/>
  <c r="F28" i="30" s="1" a="1"/>
  <c r="F28" i="30" s="1"/>
  <c r="AG36" i="46"/>
  <c r="F36" i="46" s="1" a="1"/>
  <c r="F36" i="46" s="1"/>
  <c r="AK36" i="46"/>
  <c r="K36" i="46" s="1" a="1"/>
  <c r="K36" i="46" s="1"/>
  <c r="AG25" i="51"/>
  <c r="F25" i="51" s="1" a="1"/>
  <c r="F25" i="51" s="1"/>
  <c r="AK25" i="51"/>
  <c r="K25" i="51" s="1" a="1"/>
  <c r="K25" i="51" s="1"/>
  <c r="AK34" i="43"/>
  <c r="K34" i="43" s="1" a="1"/>
  <c r="K34" i="43" s="1"/>
  <c r="AG34" i="43"/>
  <c r="F34" i="43" s="1" a="1"/>
  <c r="F34" i="43" s="1"/>
  <c r="AK31" i="43"/>
  <c r="K31" i="43" s="1" a="1"/>
  <c r="K31" i="43" s="1"/>
  <c r="AG31" i="43"/>
  <c r="F31" i="43" s="1" a="1"/>
  <c r="F31" i="43" s="1"/>
  <c r="AG36" i="27"/>
  <c r="F36" i="27" s="1" a="1"/>
  <c r="F36" i="27" s="1"/>
  <c r="AK36" i="27"/>
  <c r="K36" i="27" s="1" a="1"/>
  <c r="K36" i="27" s="1"/>
  <c r="AG28" i="25"/>
  <c r="F28" i="25" s="1" a="1"/>
  <c r="F28" i="25" s="1"/>
  <c r="AK28" i="25"/>
  <c r="K28" i="25" s="1" a="1"/>
  <c r="K28" i="25" s="1"/>
  <c r="AK27" i="49"/>
  <c r="K27" i="49" s="1" a="1"/>
  <c r="K27" i="49" s="1"/>
  <c r="AG27" i="49"/>
  <c r="F27" i="49" s="1" a="1"/>
  <c r="F27" i="49" s="1"/>
  <c r="AK25" i="46"/>
  <c r="K25" i="46" s="1" a="1"/>
  <c r="K25" i="46" s="1"/>
  <c r="AG25" i="46"/>
  <c r="F25" i="46" s="1" a="1"/>
  <c r="F25" i="46" s="1"/>
  <c r="AG23" i="46"/>
  <c r="F23" i="46" s="1" a="1"/>
  <c r="F23" i="46" s="1"/>
  <c r="AK23" i="46"/>
  <c r="K23" i="46" s="1" a="1"/>
  <c r="K23" i="46" s="1"/>
  <c r="AG21" i="51"/>
  <c r="F21" i="51" s="1" a="1"/>
  <c r="F21" i="51" s="1"/>
  <c r="AK21" i="51"/>
  <c r="K21" i="51" s="1" a="1"/>
  <c r="K21" i="51" s="1"/>
  <c r="AG34" i="45"/>
  <c r="F34" i="45" s="1" a="1"/>
  <c r="F34" i="45" s="1"/>
  <c r="AK34" i="45"/>
  <c r="K34" i="45" s="1" a="1"/>
  <c r="K34" i="45" s="1"/>
  <c r="AK33" i="43"/>
  <c r="K33" i="43" s="1" a="1"/>
  <c r="K33" i="43" s="1"/>
  <c r="AG33" i="43"/>
  <c r="F33" i="43" s="1" a="1"/>
  <c r="F33" i="43" s="1"/>
  <c r="AG27" i="43"/>
  <c r="F27" i="43" s="1" a="1"/>
  <c r="F27" i="43" s="1"/>
  <c r="AK27" i="43"/>
  <c r="K27" i="43" s="1" a="1"/>
  <c r="K27" i="43" s="1"/>
  <c r="AK19" i="27"/>
  <c r="K19" i="27" s="1" a="1"/>
  <c r="K19" i="27" s="1"/>
  <c r="AG19" i="27"/>
  <c r="F19" i="27" s="1" a="1"/>
  <c r="F19" i="27" s="1"/>
  <c r="AK24" i="26"/>
  <c r="K24" i="26" s="1" a="1"/>
  <c r="K24" i="26" s="1"/>
  <c r="AG24" i="26"/>
  <c r="F24" i="26" s="1" a="1"/>
  <c r="F24" i="26" s="1"/>
  <c r="AK22" i="26"/>
  <c r="K22" i="26" s="1" a="1"/>
  <c r="K22" i="26" s="1"/>
  <c r="AG22" i="26"/>
  <c r="F22" i="26" s="1" a="1"/>
  <c r="F22" i="26" s="1"/>
  <c r="AG25" i="25"/>
  <c r="F25" i="25" s="1" a="1"/>
  <c r="F25" i="25" s="1"/>
  <c r="AK25" i="25"/>
  <c r="K25" i="25" s="1" a="1"/>
  <c r="K25" i="25" s="1"/>
  <c r="AG27" i="48"/>
  <c r="F27" i="48" s="1" a="1"/>
  <c r="F27" i="48" s="1"/>
  <c r="AK27" i="48"/>
  <c r="K27" i="48" s="1" a="1"/>
  <c r="K27" i="48" s="1"/>
  <c r="AK22" i="48"/>
  <c r="K22" i="48" s="1" a="1"/>
  <c r="K22" i="48" s="1"/>
  <c r="AG22" i="48"/>
  <c r="F22" i="48" s="1" a="1"/>
  <c r="F22" i="48" s="1"/>
  <c r="AK28" i="48"/>
  <c r="K28" i="48" s="1" a="1"/>
  <c r="K28" i="48" s="1"/>
  <c r="AG28" i="48"/>
  <c r="F28" i="48" s="1" a="1"/>
  <c r="F28" i="48" s="1"/>
  <c r="AK27" i="33"/>
  <c r="K27" i="33" s="1" a="1"/>
  <c r="K27" i="33" s="1"/>
  <c r="AG27" i="33"/>
  <c r="F27" i="33" s="1" a="1"/>
  <c r="F27" i="33" s="1"/>
  <c r="X21" i="50" a="1"/>
  <c r="X21" i="50" s="1"/>
  <c r="S21" i="50" a="1"/>
  <c r="S21" i="50" s="1"/>
  <c r="I21" i="50"/>
  <c r="X35" i="50" a="1"/>
  <c r="X35" i="50" s="1"/>
  <c r="AB35" i="50"/>
  <c r="S35" i="50" a="1"/>
  <c r="S35" i="50" s="1"/>
  <c r="I35" i="50"/>
  <c r="AK33" i="27"/>
  <c r="K33" i="27" s="1" a="1"/>
  <c r="K33" i="27" s="1"/>
  <c r="AG33" i="27"/>
  <c r="F33" i="27" s="1" a="1"/>
  <c r="F33" i="27" s="1"/>
  <c r="AK25" i="49"/>
  <c r="K25" i="49" s="1" a="1"/>
  <c r="K25" i="49" s="1"/>
  <c r="AG25" i="49"/>
  <c r="F25" i="49" s="1" a="1"/>
  <c r="F25" i="49" s="1"/>
  <c r="AG28" i="49"/>
  <c r="F28" i="49" s="1" a="1"/>
  <c r="F28" i="49" s="1"/>
  <c r="AK28" i="49"/>
  <c r="K28" i="49" s="1" a="1"/>
  <c r="K28" i="49" s="1"/>
  <c r="AK26" i="28"/>
  <c r="K26" i="28" s="1" a="1"/>
  <c r="K26" i="28" s="1"/>
  <c r="AG26" i="28"/>
  <c r="F26" i="28" s="1" a="1"/>
  <c r="F26" i="28" s="1"/>
  <c r="AK30" i="30"/>
  <c r="K30" i="30" s="1" a="1"/>
  <c r="K30" i="30" s="1"/>
  <c r="AG30" i="30"/>
  <c r="F30" i="30" s="1" a="1"/>
  <c r="F30" i="30" s="1"/>
  <c r="AK36" i="30"/>
  <c r="K36" i="30" s="1" a="1"/>
  <c r="K36" i="30" s="1"/>
  <c r="AG36" i="30"/>
  <c r="F36" i="30" s="1" a="1"/>
  <c r="F36" i="30" s="1"/>
  <c r="AG19" i="51"/>
  <c r="F19" i="51" s="1" a="1"/>
  <c r="F19" i="51" s="1"/>
  <c r="AK19" i="51"/>
  <c r="K19" i="51" s="1" a="1"/>
  <c r="K19" i="51" s="1"/>
  <c r="AK33" i="51"/>
  <c r="K33" i="51" s="1" a="1"/>
  <c r="K33" i="51" s="1"/>
  <c r="AG33" i="51"/>
  <c r="F33" i="51" s="1" a="1"/>
  <c r="F33" i="51" s="1"/>
  <c r="AK36" i="26"/>
  <c r="K36" i="26" s="1" a="1"/>
  <c r="K36" i="26" s="1"/>
  <c r="AG36" i="26"/>
  <c r="F36" i="26" s="1" a="1"/>
  <c r="F36" i="26" s="1"/>
  <c r="AG23" i="48"/>
  <c r="F23" i="48" s="1" a="1"/>
  <c r="F23" i="48" s="1"/>
  <c r="AK23" i="48"/>
  <c r="K23" i="48" s="1" a="1"/>
  <c r="K23" i="48" s="1"/>
  <c r="AK25" i="32"/>
  <c r="K25" i="32" s="1" a="1"/>
  <c r="K25" i="32" s="1"/>
  <c r="AG25" i="32"/>
  <c r="F25" i="32" s="1" a="1"/>
  <c r="F25" i="32" s="1"/>
  <c r="AK33" i="33"/>
  <c r="K33" i="33" s="1" a="1"/>
  <c r="K33" i="33" s="1"/>
  <c r="AG33" i="33"/>
  <c r="F33" i="33" s="1" a="1"/>
  <c r="F33" i="33" s="1"/>
  <c r="X27" i="47" a="1"/>
  <c r="X27" i="47" s="1"/>
  <c r="S27" i="47" a="1"/>
  <c r="S27" i="47" s="1"/>
  <c r="AB27" i="47"/>
  <c r="I27" i="47"/>
  <c r="I25" i="47"/>
  <c r="X25" i="47" a="1"/>
  <c r="X25" i="47" s="1"/>
  <c r="AB25" i="47"/>
  <c r="S25" i="47" a="1"/>
  <c r="S25" i="47" s="1"/>
  <c r="AK35" i="44"/>
  <c r="K35" i="44" s="1" a="1"/>
  <c r="K35" i="44" s="1"/>
  <c r="AG35" i="44"/>
  <c r="F35" i="44" s="1" a="1"/>
  <c r="F35" i="44" s="1"/>
  <c r="AG19" i="44"/>
  <c r="F19" i="44" s="1" a="1"/>
  <c r="F19" i="44" s="1"/>
  <c r="AK19" i="44"/>
  <c r="K19" i="44" s="1" a="1"/>
  <c r="K19" i="44" s="1"/>
  <c r="AK36" i="44"/>
  <c r="K36" i="44" s="1" a="1"/>
  <c r="K36" i="44" s="1"/>
  <c r="AG36" i="44"/>
  <c r="F36" i="44" s="1" a="1"/>
  <c r="F36" i="44" s="1"/>
  <c r="AK19" i="28"/>
  <c r="K19" i="28" s="1" a="1"/>
  <c r="K19" i="28" s="1"/>
  <c r="AG19" i="28"/>
  <c r="F19" i="28" s="1" a="1"/>
  <c r="F19" i="28" s="1"/>
  <c r="AK23" i="28"/>
  <c r="K23" i="28" s="1" a="1"/>
  <c r="K23" i="28" s="1"/>
  <c r="AG23" i="28"/>
  <c r="F23" i="28" s="1" a="1"/>
  <c r="F23" i="28" s="1"/>
  <c r="AG23" i="30"/>
  <c r="F23" i="30" s="1" a="1"/>
  <c r="F23" i="30" s="1"/>
  <c r="AK23" i="30"/>
  <c r="K23" i="30" s="1" a="1"/>
  <c r="K23" i="30" s="1"/>
  <c r="AG22" i="51"/>
  <c r="F22" i="51" s="1" a="1"/>
  <c r="F22" i="51" s="1"/>
  <c r="AK22" i="51"/>
  <c r="K22" i="51" s="1" a="1"/>
  <c r="K22" i="51" s="1"/>
  <c r="AG23" i="26"/>
  <c r="F23" i="26" s="1" a="1"/>
  <c r="F23" i="26" s="1"/>
  <c r="AK23" i="26"/>
  <c r="K23" i="26" s="1" a="1"/>
  <c r="K23" i="26" s="1"/>
  <c r="AG32" i="25"/>
  <c r="F32" i="25" s="1" a="1"/>
  <c r="F32" i="25" s="1"/>
  <c r="AK32" i="25"/>
  <c r="K32" i="25" s="1" a="1"/>
  <c r="K32" i="25" s="1"/>
  <c r="AG33" i="48"/>
  <c r="F33" i="48" s="1" a="1"/>
  <c r="F33" i="48" s="1"/>
  <c r="AK33" i="48"/>
  <c r="K33" i="48" s="1" a="1"/>
  <c r="K33" i="48" s="1"/>
  <c r="AK20" i="32"/>
  <c r="K20" i="32" s="1" a="1"/>
  <c r="K20" i="32" s="1"/>
  <c r="AG20" i="32"/>
  <c r="F20" i="32" s="1" a="1"/>
  <c r="F20" i="32" s="1"/>
  <c r="AK29" i="33"/>
  <c r="K29" i="33" s="1" a="1"/>
  <c r="K29" i="33" s="1"/>
  <c r="AG29" i="33"/>
  <c r="F29" i="33" s="1" a="1"/>
  <c r="F29" i="33" s="1"/>
  <c r="AK32" i="33"/>
  <c r="K32" i="33" s="1" a="1"/>
  <c r="K32" i="33" s="1"/>
  <c r="AG32" i="33"/>
  <c r="F32" i="33" s="1" a="1"/>
  <c r="F32" i="33" s="1"/>
  <c r="S29" i="50" a="1"/>
  <c r="S29" i="50" s="1"/>
  <c r="I29" i="50"/>
  <c r="X29" i="50" a="1"/>
  <c r="X29" i="50" s="1"/>
  <c r="AB29" i="50"/>
  <c r="I21" i="47"/>
  <c r="X21" i="47" a="1"/>
  <c r="X21" i="47" s="1"/>
  <c r="S21" i="47" a="1"/>
  <c r="S21" i="47" s="1"/>
  <c r="AK27" i="27"/>
  <c r="K27" i="27" s="1" a="1"/>
  <c r="K27" i="27" s="1"/>
  <c r="AG27" i="27"/>
  <c r="F27" i="27" s="1" a="1"/>
  <c r="F27" i="27" s="1"/>
  <c r="AG33" i="49"/>
  <c r="F33" i="49" s="1" a="1"/>
  <c r="F33" i="49" s="1"/>
  <c r="AK33" i="49"/>
  <c r="K33" i="49" s="1" a="1"/>
  <c r="K33" i="49" s="1"/>
  <c r="AG20" i="49"/>
  <c r="F20" i="49" s="1" a="1"/>
  <c r="F20" i="49" s="1"/>
  <c r="AK20" i="49"/>
  <c r="K20" i="49" s="1" a="1"/>
  <c r="K20" i="49" s="1"/>
  <c r="AG33" i="28"/>
  <c r="F33" i="28" s="1" a="1"/>
  <c r="F33" i="28" s="1"/>
  <c r="AK33" i="28"/>
  <c r="K33" i="28" s="1" a="1"/>
  <c r="K33" i="28" s="1"/>
  <c r="AG22" i="30"/>
  <c r="F22" i="30" s="1" a="1"/>
  <c r="F22" i="30" s="1"/>
  <c r="AK22" i="30"/>
  <c r="K22" i="30" s="1" a="1"/>
  <c r="K22" i="30" s="1"/>
  <c r="AK34" i="46"/>
  <c r="K34" i="46" s="1" a="1"/>
  <c r="K34" i="46" s="1"/>
  <c r="AG34" i="46"/>
  <c r="F34" i="46" s="1" a="1"/>
  <c r="F34" i="46" s="1"/>
  <c r="S25" i="50" a="1"/>
  <c r="S25" i="50" s="1"/>
  <c r="I25" i="50"/>
  <c r="X25" i="50" a="1"/>
  <c r="X25" i="50" s="1"/>
  <c r="AB25" i="50"/>
  <c r="X23" i="50" a="1"/>
  <c r="X23" i="50" s="1"/>
  <c r="S23" i="50" a="1"/>
  <c r="S23" i="50" s="1"/>
  <c r="I23" i="50"/>
  <c r="S35" i="47" a="1"/>
  <c r="S35" i="47" s="1"/>
  <c r="I35" i="47"/>
  <c r="X35" i="47" a="1"/>
  <c r="X35" i="47" s="1"/>
  <c r="AB35" i="47"/>
  <c r="AB26" i="47"/>
  <c r="S26" i="47" a="1"/>
  <c r="S26" i="47" s="1"/>
  <c r="I26" i="47"/>
  <c r="X26" i="47" a="1"/>
  <c r="X26" i="47" s="1"/>
  <c r="AK20" i="46"/>
  <c r="K20" i="46" s="1" a="1"/>
  <c r="K20" i="46" s="1"/>
  <c r="AG20" i="46"/>
  <c r="F20" i="46" s="1" a="1"/>
  <c r="F20" i="46" s="1"/>
  <c r="AK27" i="46"/>
  <c r="K27" i="46" s="1" a="1"/>
  <c r="K27" i="46" s="1"/>
  <c r="AG27" i="46"/>
  <c r="F27" i="46" s="1" a="1"/>
  <c r="F27" i="46" s="1"/>
  <c r="AK33" i="31"/>
  <c r="K33" i="31" s="1" a="1"/>
  <c r="K33" i="31" s="1"/>
  <c r="AG33" i="31"/>
  <c r="F33" i="31" s="1" a="1"/>
  <c r="F33" i="31" s="1"/>
  <c r="AK36" i="31"/>
  <c r="K36" i="31" s="1" a="1"/>
  <c r="K36" i="31" s="1"/>
  <c r="AG36" i="31"/>
  <c r="F36" i="31" s="1" a="1"/>
  <c r="F36" i="31" s="1"/>
  <c r="AK20" i="31"/>
  <c r="K20" i="31" s="1" a="1"/>
  <c r="K20" i="31" s="1"/>
  <c r="AG20" i="31"/>
  <c r="F20" i="31" s="1" a="1"/>
  <c r="F20" i="31" s="1"/>
  <c r="AK27" i="31"/>
  <c r="K27" i="31" s="1" a="1"/>
  <c r="K27" i="31" s="1"/>
  <c r="AG27" i="31"/>
  <c r="F27" i="31" s="1" a="1"/>
  <c r="F27" i="31" s="1"/>
  <c r="AK35" i="27"/>
  <c r="K35" i="27" s="1" a="1"/>
  <c r="K35" i="27" s="1"/>
  <c r="AG35" i="27"/>
  <c r="F35" i="27" s="1" a="1"/>
  <c r="F35" i="27" s="1"/>
  <c r="AG19" i="26"/>
  <c r="F19" i="26" s="1" a="1"/>
  <c r="F19" i="26" s="1"/>
  <c r="AK19" i="26"/>
  <c r="K19" i="26" s="1" a="1"/>
  <c r="K19" i="26" s="1"/>
  <c r="AK26" i="26"/>
  <c r="K26" i="26" s="1" a="1"/>
  <c r="K26" i="26" s="1"/>
  <c r="AG26" i="26"/>
  <c r="F26" i="26" s="1" a="1"/>
  <c r="F26" i="26" s="1"/>
  <c r="AG29" i="25"/>
  <c r="F29" i="25" s="1" a="1"/>
  <c r="F29" i="25" s="1"/>
  <c r="AK29" i="25"/>
  <c r="K29" i="25" s="1" a="1"/>
  <c r="K29" i="25" s="1"/>
  <c r="AK32" i="48"/>
  <c r="K32" i="48" s="1" a="1"/>
  <c r="K32" i="48" s="1"/>
  <c r="AG32" i="48"/>
  <c r="F32" i="48" s="1" a="1"/>
  <c r="F32" i="48" s="1"/>
  <c r="AG35" i="45"/>
  <c r="F35" i="45" s="1" a="1"/>
  <c r="F35" i="45" s="1"/>
  <c r="AK35" i="45"/>
  <c r="K35" i="45" s="1" a="1"/>
  <c r="K35" i="45" s="1"/>
  <c r="AK32" i="32"/>
  <c r="K32" i="32" s="1" a="1"/>
  <c r="K32" i="32" s="1"/>
  <c r="AG32" i="32"/>
  <c r="F32" i="32" s="1" a="1"/>
  <c r="F32" i="32" s="1"/>
  <c r="AG22" i="33"/>
  <c r="F22" i="33" s="1" a="1"/>
  <c r="F22" i="33" s="1"/>
  <c r="AK22" i="33"/>
  <c r="K22" i="33" s="1" a="1"/>
  <c r="K22" i="33" s="1"/>
  <c r="AG25" i="33"/>
  <c r="F25" i="33" s="1" a="1"/>
  <c r="F25" i="33" s="1"/>
  <c r="AK25" i="33"/>
  <c r="K25" i="33" s="1" a="1"/>
  <c r="K25" i="33" s="1"/>
  <c r="S32" i="50" a="1"/>
  <c r="S32" i="50" s="1"/>
  <c r="X32" i="50" a="1"/>
  <c r="X32" i="50" s="1"/>
  <c r="I32" i="50"/>
  <c r="AB32" i="50"/>
  <c r="AG32" i="45"/>
  <c r="F32" i="45" s="1" a="1"/>
  <c r="F32" i="45" s="1"/>
  <c r="AK32" i="45"/>
  <c r="K32" i="45" s="1" a="1"/>
  <c r="K32" i="45" s="1"/>
  <c r="AK21" i="44"/>
  <c r="K21" i="44" s="1" a="1"/>
  <c r="K21" i="44" s="1"/>
  <c r="AG21" i="44"/>
  <c r="F21" i="44" s="1" a="1"/>
  <c r="F21" i="44" s="1"/>
  <c r="AK20" i="44"/>
  <c r="K20" i="44" s="1" a="1"/>
  <c r="K20" i="44" s="1"/>
  <c r="AG20" i="44"/>
  <c r="F20" i="44" s="1" a="1"/>
  <c r="F20" i="44" s="1"/>
  <c r="AG34" i="27"/>
  <c r="F34" i="27" s="1" a="1"/>
  <c r="F34" i="27" s="1"/>
  <c r="AK34" i="27"/>
  <c r="K34" i="27" s="1" a="1"/>
  <c r="K34" i="27" s="1"/>
  <c r="AG25" i="29"/>
  <c r="F25" i="29" s="1" a="1"/>
  <c r="F25" i="29" s="1"/>
  <c r="AK25" i="29"/>
  <c r="K25" i="29" s="1" a="1"/>
  <c r="K25" i="29" s="1"/>
  <c r="AK21" i="29"/>
  <c r="K21" i="29" s="1" a="1"/>
  <c r="K21" i="29" s="1"/>
  <c r="AG21" i="29"/>
  <c r="F21" i="29" s="1" a="1"/>
  <c r="F21" i="29" s="1"/>
  <c r="AG26" i="49"/>
  <c r="F26" i="49" s="1" a="1"/>
  <c r="F26" i="49" s="1"/>
  <c r="AK26" i="49"/>
  <c r="K26" i="49" s="1" a="1"/>
  <c r="K26" i="49" s="1"/>
  <c r="AG30" i="28"/>
  <c r="F30" i="28" s="1" a="1"/>
  <c r="F30" i="28" s="1"/>
  <c r="AK30" i="28"/>
  <c r="K30" i="28" s="1" a="1"/>
  <c r="K30" i="28" s="1"/>
  <c r="AG34" i="28"/>
  <c r="F34" i="28" s="1" a="1"/>
  <c r="F34" i="28" s="1"/>
  <c r="AK34" i="28"/>
  <c r="K34" i="28" s="1" a="1"/>
  <c r="K34" i="28" s="1"/>
  <c r="AK23" i="27"/>
  <c r="K23" i="27" s="1" a="1"/>
  <c r="K23" i="27" s="1"/>
  <c r="AG23" i="27"/>
  <c r="F23" i="27" s="1" a="1"/>
  <c r="F23" i="27" s="1"/>
  <c r="AG34" i="30"/>
  <c r="F34" i="30" s="1" a="1"/>
  <c r="F34" i="30" s="1"/>
  <c r="AK34" i="30"/>
  <c r="K34" i="30" s="1" a="1"/>
  <c r="K34" i="30" s="1"/>
  <c r="AG24" i="30"/>
  <c r="F24" i="30" s="1" a="1"/>
  <c r="F24" i="30" s="1"/>
  <c r="AK24" i="30"/>
  <c r="K24" i="30" s="1" a="1"/>
  <c r="K24" i="30" s="1"/>
  <c r="AK29" i="27"/>
  <c r="K29" i="27" s="1" a="1"/>
  <c r="K29" i="27" s="1"/>
  <c r="AG29" i="27"/>
  <c r="F29" i="27" s="1" a="1"/>
  <c r="F29" i="27" s="1"/>
  <c r="AG30" i="46"/>
  <c r="F30" i="46" s="1" a="1"/>
  <c r="F30" i="46" s="1"/>
  <c r="AK30" i="46"/>
  <c r="K30" i="46" s="1" a="1"/>
  <c r="K30" i="46" s="1"/>
  <c r="AG32" i="51"/>
  <c r="F32" i="51" s="1" a="1"/>
  <c r="F32" i="51" s="1"/>
  <c r="AK32" i="51"/>
  <c r="K32" i="51" s="1" a="1"/>
  <c r="K32" i="51" s="1"/>
  <c r="AK30" i="51"/>
  <c r="K30" i="51" s="1" a="1"/>
  <c r="K30" i="51" s="1"/>
  <c r="AG30" i="51"/>
  <c r="F30" i="51" s="1" a="1"/>
  <c r="F30" i="51" s="1"/>
  <c r="AK29" i="31"/>
  <c r="K29" i="31" s="1" a="1"/>
  <c r="K29" i="31" s="1"/>
  <c r="AG29" i="31"/>
  <c r="F29" i="31" s="1" a="1"/>
  <c r="F29" i="31" s="1"/>
  <c r="AK21" i="26"/>
  <c r="K21" i="26" s="1" a="1"/>
  <c r="K21" i="26" s="1"/>
  <c r="AG21" i="26"/>
  <c r="F21" i="26" s="1" a="1"/>
  <c r="F21" i="26" s="1"/>
  <c r="AK20" i="20"/>
  <c r="K20" i="20" s="1" a="1"/>
  <c r="K20" i="20" s="1"/>
  <c r="AG20" i="20"/>
  <c r="F20" i="20" s="1" a="1"/>
  <c r="F20" i="20" s="1"/>
  <c r="AG24" i="25"/>
  <c r="F24" i="25" s="1" a="1"/>
  <c r="F24" i="25" s="1"/>
  <c r="AK24" i="25"/>
  <c r="K24" i="25" s="1" a="1"/>
  <c r="K24" i="25" s="1"/>
  <c r="AK31" i="25"/>
  <c r="K31" i="25" s="1" a="1"/>
  <c r="K31" i="25" s="1"/>
  <c r="AG31" i="25"/>
  <c r="F31" i="25" s="1" a="1"/>
  <c r="F31" i="25" s="1"/>
  <c r="AG21" i="25"/>
  <c r="F21" i="25" s="1" a="1"/>
  <c r="F21" i="25" s="1"/>
  <c r="AK21" i="25"/>
  <c r="K21" i="25" s="1" a="1"/>
  <c r="K21" i="25" s="1"/>
  <c r="AG33" i="45"/>
  <c r="F33" i="45" s="1" a="1"/>
  <c r="F33" i="45" s="1"/>
  <c r="AK33" i="45"/>
  <c r="K33" i="45" s="1" a="1"/>
  <c r="K33" i="45" s="1"/>
  <c r="AK28" i="32"/>
  <c r="K28" i="32" s="1" a="1"/>
  <c r="K28" i="32" s="1"/>
  <c r="AG28" i="32"/>
  <c r="F28" i="32" s="1" a="1"/>
  <c r="F28" i="32" s="1"/>
  <c r="AG34" i="33"/>
  <c r="F34" i="33" s="1" a="1"/>
  <c r="F34" i="33" s="1"/>
  <c r="AK34" i="33"/>
  <c r="K34" i="33" s="1" a="1"/>
  <c r="K34" i="33" s="1"/>
  <c r="X28" i="50" a="1"/>
  <c r="X28" i="50" s="1"/>
  <c r="S28" i="50" a="1"/>
  <c r="S28" i="50" s="1"/>
  <c r="I28" i="50"/>
  <c r="AB28" i="50"/>
  <c r="S24" i="47" a="1"/>
  <c r="S24" i="47" s="1"/>
  <c r="I24" i="47"/>
  <c r="X24" i="47" a="1"/>
  <c r="X24" i="47" s="1"/>
  <c r="AB24" i="47"/>
  <c r="X22" i="47" a="1"/>
  <c r="X22" i="47" s="1"/>
  <c r="S22" i="47" a="1"/>
  <c r="S22" i="47" s="1"/>
  <c r="I22" i="47"/>
  <c r="AK33" i="44"/>
  <c r="K33" i="44" s="1" a="1"/>
  <c r="K33" i="44" s="1"/>
  <c r="AG33" i="44"/>
  <c r="F33" i="44" s="1" a="1"/>
  <c r="F33" i="44" s="1"/>
  <c r="AK32" i="44"/>
  <c r="K32" i="44" s="1" a="1"/>
  <c r="K32" i="44" s="1"/>
  <c r="AG32" i="44"/>
  <c r="F32" i="44" s="1" a="1"/>
  <c r="F32" i="44" s="1"/>
  <c r="AG22" i="44"/>
  <c r="F22" i="44" s="1" a="1"/>
  <c r="F22" i="44" s="1"/>
  <c r="AK22" i="44"/>
  <c r="K22" i="44" s="1" a="1"/>
  <c r="K22" i="44" s="1"/>
  <c r="AG24" i="29"/>
  <c r="F24" i="29" s="1" a="1"/>
  <c r="F24" i="29" s="1"/>
  <c r="AK24" i="29"/>
  <c r="K24" i="29" s="1" a="1"/>
  <c r="K24" i="29" s="1"/>
  <c r="AK31" i="29"/>
  <c r="K31" i="29" s="1" a="1"/>
  <c r="K31" i="29" s="1"/>
  <c r="AG31" i="29"/>
  <c r="F31" i="29" s="1" a="1"/>
  <c r="F31" i="29" s="1"/>
  <c r="AG24" i="28"/>
  <c r="F24" i="28" s="1" a="1"/>
  <c r="F24" i="28" s="1"/>
  <c r="AK24" i="28"/>
  <c r="K24" i="28" s="1" a="1"/>
  <c r="K24" i="28" s="1"/>
  <c r="AK30" i="27"/>
  <c r="K30" i="27" s="1" a="1"/>
  <c r="K30" i="27" s="1"/>
  <c r="AG30" i="27"/>
  <c r="F30" i="27" s="1" a="1"/>
  <c r="F30" i="27" s="1"/>
  <c r="AK20" i="30"/>
  <c r="K20" i="30" s="1" a="1"/>
  <c r="K20" i="30" s="1"/>
  <c r="AG20" i="30"/>
  <c r="F20" i="30" s="1" a="1"/>
  <c r="F20" i="30" s="1"/>
  <c r="AG28" i="46"/>
  <c r="F28" i="46" s="1" a="1"/>
  <c r="F28" i="46" s="1"/>
  <c r="AK28" i="46"/>
  <c r="K28" i="46" s="1" a="1"/>
  <c r="K28" i="46" s="1"/>
  <c r="AK26" i="46"/>
  <c r="K26" i="46" s="1" a="1"/>
  <c r="K26" i="46" s="1"/>
  <c r="AG26" i="46"/>
  <c r="F26" i="46" s="1" a="1"/>
  <c r="F26" i="46" s="1"/>
  <c r="AK35" i="51"/>
  <c r="K35" i="51" s="1" a="1"/>
  <c r="K35" i="51" s="1"/>
  <c r="AG35" i="51"/>
  <c r="F35" i="51" s="1" a="1"/>
  <c r="F35" i="51" s="1"/>
  <c r="AK31" i="45"/>
  <c r="K31" i="45" s="1" a="1"/>
  <c r="K31" i="45" s="1"/>
  <c r="AG31" i="45"/>
  <c r="F31" i="45" s="1" a="1"/>
  <c r="F31" i="45" s="1"/>
  <c r="AG32" i="43"/>
  <c r="F32" i="43" s="1" a="1"/>
  <c r="F32" i="43" s="1"/>
  <c r="AK32" i="43"/>
  <c r="K32" i="43" s="1" a="1"/>
  <c r="K32" i="43" s="1"/>
  <c r="AG25" i="31"/>
  <c r="F25" i="31" s="1" a="1"/>
  <c r="F25" i="31" s="1"/>
  <c r="AK25" i="31"/>
  <c r="K25" i="31" s="1" a="1"/>
  <c r="K25" i="31" s="1"/>
  <c r="AK35" i="31"/>
  <c r="K35" i="31" s="1" a="1"/>
  <c r="K35" i="31" s="1"/>
  <c r="AG35" i="31"/>
  <c r="F35" i="31" s="1" a="1"/>
  <c r="F35" i="31" s="1"/>
  <c r="AG27" i="26"/>
  <c r="F27" i="26" s="1" a="1"/>
  <c r="F27" i="26" s="1"/>
  <c r="AK27" i="26"/>
  <c r="K27" i="26" s="1" a="1"/>
  <c r="K27" i="26" s="1"/>
  <c r="AG36" i="25"/>
  <c r="F36" i="25" s="1" a="1"/>
  <c r="F36" i="25" s="1"/>
  <c r="AK36" i="25"/>
  <c r="K36" i="25" s="1" a="1"/>
  <c r="K36" i="25" s="1"/>
  <c r="AG27" i="25"/>
  <c r="F27" i="25" s="1" a="1"/>
  <c r="F27" i="25" s="1"/>
  <c r="AK27" i="25"/>
  <c r="K27" i="25" s="1" a="1"/>
  <c r="K27" i="25" s="1"/>
  <c r="AK20" i="33"/>
  <c r="K20" i="33" s="1" a="1"/>
  <c r="K20" i="33" s="1"/>
  <c r="AG20" i="33"/>
  <c r="F20" i="33" s="1" a="1"/>
  <c r="F20" i="33" s="1"/>
  <c r="I33" i="50"/>
  <c r="X33" i="50" a="1"/>
  <c r="X33" i="50" s="1"/>
  <c r="AB33" i="50"/>
  <c r="S33" i="50" a="1"/>
  <c r="S33" i="50" s="1"/>
  <c r="X31" i="50" a="1"/>
  <c r="X31" i="50" s="1"/>
  <c r="S31" i="50" a="1"/>
  <c r="S31" i="50" s="1"/>
  <c r="I31" i="50"/>
  <c r="AB31" i="50"/>
  <c r="S36" i="47" a="1"/>
  <c r="S36" i="47" s="1"/>
  <c r="I36" i="47"/>
  <c r="X36" i="47" a="1"/>
  <c r="X36" i="47" s="1"/>
  <c r="AB36" i="47"/>
  <c r="AG26" i="44"/>
  <c r="F26" i="44" s="1" a="1"/>
  <c r="F26" i="44" s="1"/>
  <c r="AK26" i="44"/>
  <c r="K26" i="44" s="1" a="1"/>
  <c r="K26" i="44" s="1"/>
  <c r="AK19" i="49"/>
  <c r="K19" i="49" s="1" a="1"/>
  <c r="K19" i="49" s="1"/>
  <c r="AG19" i="49"/>
  <c r="F19" i="49" s="1" a="1"/>
  <c r="F19" i="49" s="1"/>
  <c r="AK29" i="30"/>
  <c r="K29" i="30" s="1" a="1"/>
  <c r="K29" i="30" s="1"/>
  <c r="AG29" i="30"/>
  <c r="F29" i="30" s="1" a="1"/>
  <c r="F29" i="30" s="1"/>
  <c r="AK33" i="46"/>
  <c r="K33" i="46" s="1" a="1"/>
  <c r="K33" i="46" s="1"/>
  <c r="AG33" i="46"/>
  <c r="F33" i="46" s="1" a="1"/>
  <c r="F33" i="46" s="1"/>
  <c r="AK31" i="46"/>
  <c r="K31" i="46" s="1" a="1"/>
  <c r="K31" i="46" s="1"/>
  <c r="AG31" i="46"/>
  <c r="F31" i="46" s="1" a="1"/>
  <c r="F31" i="46" s="1"/>
  <c r="AG22" i="46"/>
  <c r="F22" i="46" s="1" a="1"/>
  <c r="F22" i="46" s="1"/>
  <c r="AK22" i="46"/>
  <c r="K22" i="46" s="1" a="1"/>
  <c r="K22" i="46" s="1"/>
  <c r="AK22" i="43"/>
  <c r="K22" i="43" s="1" a="1"/>
  <c r="K22" i="43" s="1"/>
  <c r="AG22" i="43"/>
  <c r="F22" i="43" s="1" a="1"/>
  <c r="F22" i="43" s="1"/>
  <c r="AG28" i="43"/>
  <c r="F28" i="43" s="1" a="1"/>
  <c r="F28" i="43" s="1"/>
  <c r="AK28" i="43"/>
  <c r="K28" i="43" s="1" a="1"/>
  <c r="K28" i="43" s="1"/>
  <c r="AK35" i="43"/>
  <c r="K35" i="43" s="1" a="1"/>
  <c r="K35" i="43" s="1"/>
  <c r="AG35" i="43"/>
  <c r="F35" i="43" s="1" a="1"/>
  <c r="F35" i="43" s="1"/>
  <c r="AG21" i="31"/>
  <c r="F21" i="31" s="1" a="1"/>
  <c r="F21" i="31" s="1"/>
  <c r="AK21" i="31"/>
  <c r="K21" i="31" s="1" a="1"/>
  <c r="K21" i="31" s="1"/>
  <c r="AK31" i="31"/>
  <c r="K31" i="31" s="1" a="1"/>
  <c r="K31" i="31" s="1"/>
  <c r="AG31" i="31"/>
  <c r="F31" i="31" s="1" a="1"/>
  <c r="F31" i="31" s="1"/>
  <c r="AG22" i="31"/>
  <c r="F22" i="31" s="1" a="1"/>
  <c r="F22" i="31" s="1"/>
  <c r="AK22" i="31"/>
  <c r="K22" i="31" s="1" a="1"/>
  <c r="K22" i="31" s="1"/>
  <c r="AK25" i="27"/>
  <c r="K25" i="27" s="1" a="1"/>
  <c r="K25" i="27" s="1"/>
  <c r="AG25" i="27"/>
  <c r="F25" i="27" s="1" a="1"/>
  <c r="F25" i="27" s="1"/>
  <c r="AG29" i="26"/>
  <c r="F29" i="26" s="1" a="1"/>
  <c r="F29" i="26" s="1"/>
  <c r="AK29" i="26"/>
  <c r="K29" i="26" s="1" a="1"/>
  <c r="K29" i="26" s="1"/>
  <c r="AK28" i="20"/>
  <c r="K28" i="20" s="1" a="1"/>
  <c r="K28" i="20" s="1"/>
  <c r="AG28" i="20"/>
  <c r="F28" i="20" s="1" a="1"/>
  <c r="F28" i="20" s="1"/>
  <c r="AK30" i="25"/>
  <c r="K30" i="25" s="1" a="1"/>
  <c r="K30" i="25" s="1"/>
  <c r="AG30" i="25"/>
  <c r="F30" i="25" s="1" a="1"/>
  <c r="F30" i="25" s="1"/>
  <c r="AG36" i="48"/>
  <c r="F36" i="48" s="1" a="1"/>
  <c r="F36" i="48" s="1"/>
  <c r="AK36" i="48"/>
  <c r="K36" i="48" s="1" a="1"/>
  <c r="K36" i="48" s="1"/>
  <c r="AG34" i="32"/>
  <c r="F34" i="32" s="1" a="1"/>
  <c r="F34" i="32" s="1"/>
  <c r="AK34" i="32"/>
  <c r="K34" i="32" s="1" a="1"/>
  <c r="K34" i="32" s="1"/>
  <c r="AG35" i="33"/>
  <c r="F35" i="33" s="1" a="1"/>
  <c r="F35" i="33" s="1"/>
  <c r="AK35" i="33"/>
  <c r="K35" i="33" s="1" a="1"/>
  <c r="K35" i="33" s="1"/>
  <c r="AK22" i="27"/>
  <c r="K22" i="27" s="1" a="1"/>
  <c r="K22" i="27" s="1"/>
  <c r="AG22" i="27"/>
  <c r="F22" i="27" s="1" a="1"/>
  <c r="F22" i="27" s="1"/>
  <c r="X27" i="50" a="1"/>
  <c r="X27" i="50" s="1"/>
  <c r="S27" i="50" a="1"/>
  <c r="S27" i="50" s="1"/>
  <c r="I27" i="50"/>
  <c r="AG32" i="29"/>
  <c r="F32" i="29" s="1" a="1"/>
  <c r="F32" i="29" s="1"/>
  <c r="AK32" i="29"/>
  <c r="K32" i="29" s="1" a="1"/>
  <c r="K32" i="29" s="1"/>
  <c r="AG30" i="49"/>
  <c r="F30" i="49" s="1" a="1"/>
  <c r="F30" i="49" s="1"/>
  <c r="AK30" i="49"/>
  <c r="K30" i="49" s="1" a="1"/>
  <c r="K30" i="49" s="1"/>
  <c r="AK20" i="45"/>
  <c r="K20" i="45" s="1" a="1"/>
  <c r="K20" i="45" s="1"/>
  <c r="AG20" i="45"/>
  <c r="F20" i="45" s="1" a="1"/>
  <c r="F20" i="45" s="1"/>
  <c r="AG35" i="30"/>
  <c r="F35" i="30" s="1" a="1"/>
  <c r="F35" i="30" s="1"/>
  <c r="AK35" i="30"/>
  <c r="K35" i="30" s="1" a="1"/>
  <c r="K35" i="30" s="1"/>
  <c r="O33" i="20" l="1"/>
  <c r="AG31" i="20"/>
  <c r="F31" i="20" s="1" a="1"/>
  <c r="F31" i="20" s="1"/>
  <c r="O28" i="49"/>
  <c r="O27" i="49"/>
  <c r="O25" i="49"/>
  <c r="O32" i="54"/>
  <c r="O36" i="46"/>
  <c r="AG34" i="20"/>
  <c r="F34" i="20" s="1" a="1"/>
  <c r="F34" i="20" s="1"/>
  <c r="O24" i="43"/>
  <c r="O26" i="48"/>
  <c r="O35" i="51"/>
  <c r="O29" i="43"/>
  <c r="O23" i="46"/>
  <c r="O25" i="43"/>
  <c r="O26" i="43"/>
  <c r="O27" i="45"/>
  <c r="O34" i="48"/>
  <c r="O35" i="49"/>
  <c r="O36" i="49"/>
  <c r="O32" i="48"/>
  <c r="O28" i="33"/>
  <c r="O34" i="49"/>
  <c r="O27" i="46"/>
  <c r="O35" i="30"/>
  <c r="O33" i="49"/>
  <c r="O36" i="30"/>
  <c r="O27" i="30"/>
  <c r="O34" i="54"/>
  <c r="O28" i="51"/>
  <c r="O28" i="46"/>
  <c r="O29" i="48"/>
  <c r="O27" i="32"/>
  <c r="O24" i="44"/>
  <c r="O26" i="32"/>
  <c r="O25" i="45"/>
  <c r="O29" i="46"/>
  <c r="O35" i="48"/>
  <c r="O27" i="31"/>
  <c r="O35" i="46"/>
  <c r="O36" i="31"/>
  <c r="O25" i="46"/>
  <c r="O31" i="51"/>
  <c r="O33" i="44"/>
  <c r="O33" i="46"/>
  <c r="O30" i="51"/>
  <c r="O24" i="51"/>
  <c r="O28" i="30"/>
  <c r="O36" i="48"/>
  <c r="O29" i="32"/>
  <c r="O26" i="44"/>
  <c r="O34" i="30"/>
  <c r="O34" i="32"/>
  <c r="O25" i="30"/>
  <c r="O29" i="49"/>
  <c r="O28" i="44"/>
  <c r="O34" i="28"/>
  <c r="O35" i="45"/>
  <c r="O31" i="48"/>
  <c r="O36" i="51"/>
  <c r="O24" i="28"/>
  <c r="O29" i="31"/>
  <c r="AB33" i="54"/>
  <c r="O30" i="48"/>
  <c r="O32" i="29"/>
  <c r="O33" i="48"/>
  <c r="AB30" i="45"/>
  <c r="O30" i="45"/>
  <c r="AB24" i="20"/>
  <c r="AB26" i="20"/>
  <c r="AB25" i="20"/>
  <c r="AB20" i="20"/>
  <c r="Q15" i="53"/>
  <c r="R15" i="53" s="1"/>
  <c r="P8" i="53" a="1"/>
  <c r="P8" i="53" s="1"/>
  <c r="AG27" i="20"/>
  <c r="F27" i="20" s="1" a="1"/>
  <c r="F27" i="20" s="1"/>
  <c r="P13" i="53" a="1"/>
  <c r="P13" i="53" s="1"/>
  <c r="P16" i="53" a="1"/>
  <c r="P16" i="53" s="1"/>
  <c r="P12" i="53" a="1"/>
  <c r="P12" i="53" s="1"/>
  <c r="P17" i="53" a="1"/>
  <c r="P17" i="53" s="1"/>
  <c r="P10" i="53" a="1"/>
  <c r="P10" i="53" s="1"/>
  <c r="P9" i="53" a="1"/>
  <c r="P9" i="53" s="1"/>
  <c r="P11" i="53" a="1"/>
  <c r="P11" i="53" s="1"/>
  <c r="P14" i="53" a="1"/>
  <c r="P14" i="53" s="1"/>
  <c r="P15" i="53" a="1"/>
  <c r="P15" i="53" s="1"/>
  <c r="AG21" i="20"/>
  <c r="F21" i="20" s="1" a="1"/>
  <c r="F21" i="20" s="1"/>
  <c r="AG22" i="20"/>
  <c r="F22" i="20" s="1" a="1"/>
  <c r="F22" i="20" s="1"/>
  <c r="O22" i="20" s="1"/>
  <c r="E10" i="53" s="1"/>
  <c r="T17" i="53" s="1"/>
  <c r="AG23" i="20"/>
  <c r="F23" i="20" s="1" a="1"/>
  <c r="F23" i="20" s="1"/>
  <c r="O23" i="20" s="1"/>
  <c r="E11" i="53" s="1"/>
  <c r="T18" i="53" s="1"/>
  <c r="AB23" i="20"/>
  <c r="O31" i="20"/>
  <c r="O34" i="20"/>
  <c r="O23" i="45"/>
  <c r="O28" i="20"/>
  <c r="E16" i="53" s="1"/>
  <c r="T23" i="53" s="1"/>
  <c r="AK32" i="20"/>
  <c r="K32" i="20" s="1" a="1"/>
  <c r="K32" i="20" s="1"/>
  <c r="AK25" i="20"/>
  <c r="K25" i="20" s="1" a="1"/>
  <c r="K25" i="20" s="1"/>
  <c r="G16" i="53"/>
  <c r="S23" i="53"/>
  <c r="AB28" i="54"/>
  <c r="Q23" i="53"/>
  <c r="R23" i="53" s="1"/>
  <c r="Q24" i="53"/>
  <c r="R24" i="53" s="1"/>
  <c r="Q17" i="53"/>
  <c r="R17" i="53" s="1"/>
  <c r="Q16" i="53"/>
  <c r="R16" i="53" s="1"/>
  <c r="Q18" i="53"/>
  <c r="R18" i="53" s="1"/>
  <c r="Q21" i="53"/>
  <c r="R21" i="53" s="1"/>
  <c r="Q22" i="53"/>
  <c r="R22" i="53" s="1"/>
  <c r="Q20" i="53"/>
  <c r="R20" i="53" s="1"/>
  <c r="Q19" i="53"/>
  <c r="R19" i="53" s="1"/>
  <c r="AG26" i="20"/>
  <c r="F26" i="20" s="1" a="1"/>
  <c r="F26" i="20" s="1"/>
  <c r="O26" i="20" s="1"/>
  <c r="E14" i="53" s="1"/>
  <c r="T21" i="53" s="1"/>
  <c r="AB25" i="54"/>
  <c r="O23" i="29"/>
  <c r="AB22" i="20"/>
  <c r="O36" i="20"/>
  <c r="O23" i="27"/>
  <c r="O23" i="30"/>
  <c r="AB21" i="20"/>
  <c r="O29" i="20"/>
  <c r="E17" i="53" s="1"/>
  <c r="T24" i="53" s="1"/>
  <c r="O27" i="20"/>
  <c r="E15" i="53" s="1"/>
  <c r="T22" i="53" s="1"/>
  <c r="O29" i="54"/>
  <c r="C17" i="53" s="1"/>
  <c r="S24" i="53" s="1"/>
  <c r="AK36" i="20"/>
  <c r="K36" i="20" s="1" a="1"/>
  <c r="K36" i="20" s="1"/>
  <c r="O25" i="20"/>
  <c r="E13" i="53" s="1"/>
  <c r="T20" i="53" s="1"/>
  <c r="AG24" i="20"/>
  <c r="F24" i="20" s="1" a="1"/>
  <c r="F24" i="20" s="1"/>
  <c r="O24" i="20" s="1"/>
  <c r="E12" i="53" s="1"/>
  <c r="T19" i="53" s="1"/>
  <c r="O32" i="20"/>
  <c r="O23" i="49"/>
  <c r="AG33" i="20"/>
  <c r="F33" i="20" s="1" a="1"/>
  <c r="F33" i="20" s="1"/>
  <c r="AG29" i="20"/>
  <c r="F29" i="20" s="1" a="1"/>
  <c r="F29" i="20" s="1"/>
  <c r="O23" i="25"/>
  <c r="AG19" i="20"/>
  <c r="F19" i="20" s="1" a="1"/>
  <c r="F19" i="20" s="1"/>
  <c r="O19" i="20" s="1"/>
  <c r="AB19" i="20"/>
  <c r="O35" i="20"/>
  <c r="AG35" i="20"/>
  <c r="F35" i="20" s="1" a="1"/>
  <c r="F35" i="20" s="1"/>
  <c r="O30" i="20"/>
  <c r="O35" i="54"/>
  <c r="AB35" i="54"/>
  <c r="AK33" i="54"/>
  <c r="K33" i="54" s="1" a="1"/>
  <c r="K33" i="54" s="1"/>
  <c r="AG33" i="54"/>
  <c r="F33" i="54" s="1" a="1"/>
  <c r="F33" i="54" s="1"/>
  <c r="AB20" i="54"/>
  <c r="AB36" i="54"/>
  <c r="O36" i="54"/>
  <c r="AG26" i="54"/>
  <c r="F26" i="54" s="1" a="1"/>
  <c r="F26" i="54" s="1"/>
  <c r="AK26" i="54"/>
  <c r="K26" i="54" s="1" a="1"/>
  <c r="K26" i="54" s="1"/>
  <c r="O26" i="54" s="1"/>
  <c r="C14" i="53" s="1"/>
  <c r="AK20" i="54"/>
  <c r="K20" i="54" s="1" a="1"/>
  <c r="K20" i="54" s="1"/>
  <c r="AG20" i="54"/>
  <c r="F20" i="54" s="1" a="1"/>
  <c r="F20" i="54" s="1"/>
  <c r="AB21" i="54"/>
  <c r="AK34" i="54"/>
  <c r="K34" i="54" s="1" a="1"/>
  <c r="K34" i="54" s="1"/>
  <c r="AG34" i="54"/>
  <c r="F34" i="54" s="1" a="1"/>
  <c r="F34" i="54" s="1"/>
  <c r="O19" i="54"/>
  <c r="C7" i="53" s="1"/>
  <c r="S14" i="53" s="1"/>
  <c r="AB19" i="54"/>
  <c r="AB22" i="54"/>
  <c r="AK25" i="54"/>
  <c r="K25" i="54" s="1" a="1"/>
  <c r="K25" i="54" s="1"/>
  <c r="O25" i="54" s="1"/>
  <c r="C13" i="53" s="1"/>
  <c r="AG25" i="54"/>
  <c r="F25" i="54" s="1" a="1"/>
  <c r="F25" i="54" s="1"/>
  <c r="AG22" i="54"/>
  <c r="F22" i="54" s="1" a="1"/>
  <c r="F22" i="54" s="1"/>
  <c r="AK22" i="54"/>
  <c r="K22" i="54" s="1" a="1"/>
  <c r="K22" i="54" s="1"/>
  <c r="AB26" i="54"/>
  <c r="AB24" i="54"/>
  <c r="AK31" i="54"/>
  <c r="K31" i="54" s="1" a="1"/>
  <c r="K31" i="54" s="1"/>
  <c r="AG31" i="54"/>
  <c r="F31" i="54" s="1" a="1"/>
  <c r="F31" i="54" s="1"/>
  <c r="AK32" i="54"/>
  <c r="K32" i="54" s="1" a="1"/>
  <c r="K32" i="54" s="1"/>
  <c r="AG32" i="54"/>
  <c r="F32" i="54" s="1" a="1"/>
  <c r="F32" i="54" s="1"/>
  <c r="AB27" i="54"/>
  <c r="O27" i="54"/>
  <c r="C15" i="53" s="1"/>
  <c r="AG36" i="54"/>
  <c r="F36" i="54" s="1" a="1"/>
  <c r="F36" i="54" s="1"/>
  <c r="AK36" i="54"/>
  <c r="K36" i="54" s="1" a="1"/>
  <c r="K36" i="54" s="1"/>
  <c r="AK27" i="54"/>
  <c r="K27" i="54" s="1" a="1"/>
  <c r="K27" i="54" s="1"/>
  <c r="AG27" i="54"/>
  <c r="F27" i="54" s="1" a="1"/>
  <c r="F27" i="54" s="1"/>
  <c r="AK23" i="54"/>
  <c r="K23" i="54" s="1" a="1"/>
  <c r="K23" i="54" s="1"/>
  <c r="AG23" i="54"/>
  <c r="AB31" i="54"/>
  <c r="O31" i="54"/>
  <c r="AG24" i="54"/>
  <c r="F24" i="54" s="1" a="1"/>
  <c r="F24" i="54" s="1"/>
  <c r="AK24" i="54"/>
  <c r="K24" i="54" s="1" a="1"/>
  <c r="K24" i="54" s="1"/>
  <c r="AB23" i="54"/>
  <c r="AK35" i="54"/>
  <c r="K35" i="54" s="1" a="1"/>
  <c r="K35" i="54" s="1"/>
  <c r="AG35" i="54"/>
  <c r="F35" i="54" s="1" a="1"/>
  <c r="F35" i="54" s="1"/>
  <c r="AK28" i="54"/>
  <c r="K28" i="54" s="1" a="1"/>
  <c r="K28" i="54" s="1"/>
  <c r="AG28" i="54"/>
  <c r="F28" i="54" s="1" a="1"/>
  <c r="F28" i="54" s="1"/>
  <c r="AK21" i="54"/>
  <c r="K21" i="54" s="1" a="1"/>
  <c r="K21" i="54" s="1"/>
  <c r="AG21" i="54"/>
  <c r="F21" i="54" s="1" a="1"/>
  <c r="F21" i="54" s="1"/>
  <c r="AK29" i="54"/>
  <c r="K29" i="54" s="1" a="1"/>
  <c r="K29" i="54" s="1"/>
  <c r="AG29" i="54"/>
  <c r="F29" i="54" s="1" a="1"/>
  <c r="F29" i="54" s="1"/>
  <c r="AK30" i="54"/>
  <c r="K30" i="54" s="1" a="1"/>
  <c r="K30" i="54" s="1"/>
  <c r="AG30" i="54"/>
  <c r="F30" i="54" s="1" a="1"/>
  <c r="F30" i="54" s="1"/>
  <c r="O19" i="51"/>
  <c r="AT3" i="51" s="1"/>
  <c r="AI3" i="51" s="1"/>
  <c r="O20" i="51"/>
  <c r="O22" i="51"/>
  <c r="O21" i="51"/>
  <c r="O19" i="46"/>
  <c r="AT3" i="46" s="1"/>
  <c r="AI3" i="46" s="1"/>
  <c r="O23" i="44"/>
  <c r="O23" i="43"/>
  <c r="O23" i="33"/>
  <c r="O23" i="31"/>
  <c r="O23" i="32"/>
  <c r="O20" i="27"/>
  <c r="O19" i="30"/>
  <c r="AT3" i="30" s="1"/>
  <c r="AI3" i="30" s="1"/>
  <c r="O21" i="27"/>
  <c r="O23" i="28"/>
  <c r="O22" i="32"/>
  <c r="O20" i="30"/>
  <c r="O20" i="32"/>
  <c r="O20" i="31"/>
  <c r="O20" i="46"/>
  <c r="O22" i="48"/>
  <c r="O22" i="29"/>
  <c r="O21" i="30"/>
  <c r="O21" i="45"/>
  <c r="O20" i="33"/>
  <c r="O21" i="49"/>
  <c r="O19" i="32"/>
  <c r="AT3" i="32" s="1"/>
  <c r="AI3" i="32" s="1"/>
  <c r="O22" i="31"/>
  <c r="O21" i="31"/>
  <c r="O22" i="46"/>
  <c r="O21" i="32"/>
  <c r="AB22" i="50"/>
  <c r="O20" i="44"/>
  <c r="AB21" i="47"/>
  <c r="O19" i="31"/>
  <c r="AT3" i="31" s="1"/>
  <c r="AI3" i="31" s="1"/>
  <c r="O21" i="46"/>
  <c r="O22" i="26"/>
  <c r="O19" i="27"/>
  <c r="AT3" i="27" s="1"/>
  <c r="AI3" i="27" s="1"/>
  <c r="O20" i="45"/>
  <c r="O22" i="43"/>
  <c r="O22" i="44"/>
  <c r="O21" i="26"/>
  <c r="O21" i="29"/>
  <c r="O19" i="44"/>
  <c r="AT3" i="44" s="1"/>
  <c r="AI3" i="44" s="1"/>
  <c r="O19" i="43"/>
  <c r="AT3" i="43" s="1"/>
  <c r="AI3" i="43" s="1"/>
  <c r="O20" i="29"/>
  <c r="O19" i="28"/>
  <c r="AT3" i="28" s="1"/>
  <c r="AI3" i="28" s="1"/>
  <c r="O19" i="33"/>
  <c r="AT3" i="33" s="1"/>
  <c r="AI3" i="33" s="1"/>
  <c r="O21" i="28"/>
  <c r="O19" i="48"/>
  <c r="AT3" i="48" s="1"/>
  <c r="AI3" i="48" s="1"/>
  <c r="O21" i="48"/>
  <c r="O20" i="25"/>
  <c r="O20" i="26"/>
  <c r="O22" i="27"/>
  <c r="O19" i="49"/>
  <c r="AT3" i="49" s="1"/>
  <c r="AI3" i="49" s="1"/>
  <c r="O22" i="33"/>
  <c r="O19" i="26"/>
  <c r="AT3" i="26" s="1"/>
  <c r="AI3" i="26" s="1"/>
  <c r="O22" i="30"/>
  <c r="O20" i="49"/>
  <c r="O23" i="48"/>
  <c r="AB21" i="50"/>
  <c r="AB20" i="50"/>
  <c r="O21" i="25"/>
  <c r="O20" i="48"/>
  <c r="O22" i="25"/>
  <c r="O19" i="29"/>
  <c r="AT3" i="29" s="1"/>
  <c r="AI3" i="29" s="1"/>
  <c r="O20" i="28"/>
  <c r="O20" i="43"/>
  <c r="O21" i="44"/>
  <c r="O22" i="49"/>
  <c r="O21" i="33"/>
  <c r="O21" i="43"/>
  <c r="O22" i="28"/>
  <c r="O22" i="45"/>
  <c r="AB22" i="47"/>
  <c r="AB19" i="50"/>
  <c r="AB19" i="47"/>
  <c r="AB23" i="50"/>
  <c r="O19" i="45"/>
  <c r="AT3" i="45" s="1"/>
  <c r="AI3" i="45" s="1"/>
  <c r="AB20" i="47"/>
  <c r="O19" i="25"/>
  <c r="AT3" i="25" s="1"/>
  <c r="AI3" i="25" s="1"/>
  <c r="O20" i="20"/>
  <c r="E8" i="53" s="1"/>
  <c r="T15" i="53" s="1"/>
  <c r="O21" i="20"/>
  <c r="E9" i="53" s="1"/>
  <c r="T16" i="53" s="1"/>
  <c r="O32" i="50"/>
  <c r="O35" i="47"/>
  <c r="O27" i="47"/>
  <c r="O34" i="50"/>
  <c r="O31" i="47"/>
  <c r="O30" i="47"/>
  <c r="O33" i="47"/>
  <c r="O27" i="50"/>
  <c r="O24" i="47"/>
  <c r="O28" i="50"/>
  <c r="O23" i="47"/>
  <c r="O24" i="50"/>
  <c r="O36" i="47"/>
  <c r="O33" i="50"/>
  <c r="O25" i="50"/>
  <c r="O35" i="50"/>
  <c r="O32" i="47"/>
  <c r="O28" i="47"/>
  <c r="O30" i="50"/>
  <c r="O31" i="50"/>
  <c r="O26" i="47"/>
  <c r="O29" i="50"/>
  <c r="O25" i="47"/>
  <c r="O34" i="47"/>
  <c r="O29" i="47"/>
  <c r="O26" i="50"/>
  <c r="O36" i="50"/>
  <c r="AK36" i="47"/>
  <c r="K36" i="47" s="1" a="1"/>
  <c r="K36" i="47" s="1"/>
  <c r="AG36" i="47"/>
  <c r="F36" i="47" s="1" a="1"/>
  <c r="F36" i="47" s="1"/>
  <c r="AK31" i="50"/>
  <c r="K31" i="50" s="1" a="1"/>
  <c r="K31" i="50" s="1"/>
  <c r="AG31" i="50"/>
  <c r="F31" i="50" s="1" a="1"/>
  <c r="F31" i="50" s="1"/>
  <c r="AK33" i="50"/>
  <c r="K33" i="50" s="1" a="1"/>
  <c r="K33" i="50" s="1"/>
  <c r="AG33" i="50"/>
  <c r="F33" i="50" s="1" a="1"/>
  <c r="F33" i="50" s="1"/>
  <c r="AG24" i="47"/>
  <c r="F24" i="47" s="1" a="1"/>
  <c r="F24" i="47" s="1"/>
  <c r="AK24" i="47"/>
  <c r="K24" i="47" s="1" a="1"/>
  <c r="K24" i="47" s="1"/>
  <c r="AK35" i="47"/>
  <c r="K35" i="47" s="1" a="1"/>
  <c r="K35" i="47" s="1"/>
  <c r="AG35" i="47"/>
  <c r="F35" i="47" s="1" a="1"/>
  <c r="F35" i="47" s="1"/>
  <c r="AK25" i="47"/>
  <c r="K25" i="47" s="1" a="1"/>
  <c r="K25" i="47" s="1"/>
  <c r="AG25" i="47"/>
  <c r="F25" i="47" s="1" a="1"/>
  <c r="F25" i="47" s="1"/>
  <c r="AK23" i="47"/>
  <c r="K23" i="47" s="1" a="1"/>
  <c r="K23" i="47" s="1"/>
  <c r="AG23" i="47"/>
  <c r="F23" i="47" s="1" a="1"/>
  <c r="F23" i="47" s="1"/>
  <c r="AK29" i="47"/>
  <c r="K29" i="47" s="1" a="1"/>
  <c r="K29" i="47" s="1"/>
  <c r="AG29" i="47"/>
  <c r="F29" i="47" s="1" a="1"/>
  <c r="F29" i="47" s="1"/>
  <c r="AG22" i="50"/>
  <c r="F22" i="50" s="1" a="1"/>
  <c r="F22" i="50" s="1"/>
  <c r="AK22" i="50"/>
  <c r="K22" i="50" s="1" a="1"/>
  <c r="K22" i="50" s="1"/>
  <c r="AK33" i="47"/>
  <c r="K33" i="47" s="1" a="1"/>
  <c r="K33" i="47" s="1"/>
  <c r="AG33" i="47"/>
  <c r="F33" i="47" s="1" a="1"/>
  <c r="F33" i="47" s="1"/>
  <c r="AG19" i="47"/>
  <c r="F19" i="47" s="1" a="1"/>
  <c r="F19" i="47" s="1"/>
  <c r="AK19" i="47"/>
  <c r="K19" i="47" s="1" a="1"/>
  <c r="K19" i="47" s="1"/>
  <c r="AG28" i="47"/>
  <c r="F28" i="47" s="1" a="1"/>
  <c r="F28" i="47" s="1"/>
  <c r="AK28" i="47"/>
  <c r="K28" i="47" s="1" a="1"/>
  <c r="K28" i="47" s="1"/>
  <c r="AK30" i="50"/>
  <c r="K30" i="50" s="1" a="1"/>
  <c r="K30" i="50" s="1"/>
  <c r="AG30" i="50"/>
  <c r="F30" i="50" s="1" a="1"/>
  <c r="F30" i="50" s="1"/>
  <c r="AG34" i="50"/>
  <c r="F34" i="50" s="1" a="1"/>
  <c r="F34" i="50" s="1"/>
  <c r="AK34" i="50"/>
  <c r="K34" i="50" s="1" a="1"/>
  <c r="K34" i="50" s="1"/>
  <c r="AG20" i="50"/>
  <c r="F20" i="50" s="1" a="1"/>
  <c r="F20" i="50" s="1"/>
  <c r="AK20" i="50"/>
  <c r="K20" i="50" s="1" a="1"/>
  <c r="K20" i="50" s="1"/>
  <c r="AK26" i="50"/>
  <c r="K26" i="50" s="1" a="1"/>
  <c r="K26" i="50" s="1"/>
  <c r="AG26" i="50"/>
  <c r="F26" i="50" s="1" a="1"/>
  <c r="F26" i="50" s="1"/>
  <c r="AK30" i="47"/>
  <c r="K30" i="47" s="1" a="1"/>
  <c r="K30" i="47" s="1"/>
  <c r="AG30" i="47"/>
  <c r="F30" i="47" s="1" a="1"/>
  <c r="F30" i="47" s="1"/>
  <c r="AG22" i="47"/>
  <c r="F22" i="47" s="1" a="1"/>
  <c r="F22" i="47" s="1"/>
  <c r="AK22" i="47"/>
  <c r="K22" i="47" s="1" a="1"/>
  <c r="K22" i="47" s="1"/>
  <c r="AG32" i="50"/>
  <c r="F32" i="50" s="1" a="1"/>
  <c r="F32" i="50" s="1"/>
  <c r="AK32" i="50"/>
  <c r="K32" i="50" s="1" a="1"/>
  <c r="K32" i="50" s="1"/>
  <c r="AK25" i="50"/>
  <c r="K25" i="50" s="1" a="1"/>
  <c r="K25" i="50" s="1"/>
  <c r="AG25" i="50"/>
  <c r="F25" i="50" s="1" a="1"/>
  <c r="F25" i="50" s="1"/>
  <c r="AK21" i="47"/>
  <c r="K21" i="47" s="1" a="1"/>
  <c r="K21" i="47" s="1"/>
  <c r="AG21" i="47"/>
  <c r="F21" i="47" s="1" a="1"/>
  <c r="F21" i="47" s="1"/>
  <c r="AG27" i="47"/>
  <c r="F27" i="47" s="1" a="1"/>
  <c r="F27" i="47" s="1"/>
  <c r="AK27" i="47"/>
  <c r="K27" i="47" s="1" a="1"/>
  <c r="K27" i="47" s="1"/>
  <c r="AK35" i="50"/>
  <c r="K35" i="50" s="1" a="1"/>
  <c r="K35" i="50" s="1"/>
  <c r="AG35" i="50"/>
  <c r="F35" i="50" s="1" a="1"/>
  <c r="F35" i="50" s="1"/>
  <c r="AG34" i="47"/>
  <c r="F34" i="47" s="1" a="1"/>
  <c r="F34" i="47" s="1"/>
  <c r="AK34" i="47"/>
  <c r="K34" i="47" s="1" a="1"/>
  <c r="K34" i="47" s="1"/>
  <c r="AK31" i="47"/>
  <c r="K31" i="47" s="1" a="1"/>
  <c r="K31" i="47" s="1"/>
  <c r="AG31" i="47"/>
  <c r="F31" i="47" s="1" a="1"/>
  <c r="F31" i="47" s="1"/>
  <c r="AK32" i="47"/>
  <c r="K32" i="47" s="1" a="1"/>
  <c r="K32" i="47" s="1"/>
  <c r="AG32" i="47"/>
  <c r="F32" i="47" s="1" a="1"/>
  <c r="F32" i="47" s="1"/>
  <c r="AG36" i="50"/>
  <c r="F36" i="50" s="1" a="1"/>
  <c r="F36" i="50" s="1"/>
  <c r="AK36" i="50"/>
  <c r="K36" i="50" s="1" a="1"/>
  <c r="K36" i="50" s="1"/>
  <c r="AG24" i="50"/>
  <c r="F24" i="50" s="1" a="1"/>
  <c r="F24" i="50" s="1"/>
  <c r="AK24" i="50"/>
  <c r="K24" i="50" s="1" a="1"/>
  <c r="K24" i="50" s="1"/>
  <c r="AK27" i="50"/>
  <c r="K27" i="50" s="1" a="1"/>
  <c r="K27" i="50" s="1"/>
  <c r="AG27" i="50"/>
  <c r="F27" i="50" s="1" a="1"/>
  <c r="F27" i="50" s="1"/>
  <c r="AG28" i="50"/>
  <c r="F28" i="50" s="1" a="1"/>
  <c r="F28" i="50" s="1"/>
  <c r="AK28" i="50"/>
  <c r="K28" i="50" s="1" a="1"/>
  <c r="K28" i="50" s="1"/>
  <c r="AK26" i="47"/>
  <c r="K26" i="47" s="1" a="1"/>
  <c r="K26" i="47" s="1"/>
  <c r="AG26" i="47"/>
  <c r="F26" i="47" s="1" a="1"/>
  <c r="F26" i="47" s="1"/>
  <c r="AG23" i="50"/>
  <c r="F23" i="50" s="1" a="1"/>
  <c r="F23" i="50" s="1"/>
  <c r="AK23" i="50"/>
  <c r="K23" i="50" s="1" a="1"/>
  <c r="K23" i="50" s="1"/>
  <c r="AK29" i="50"/>
  <c r="K29" i="50" s="1" a="1"/>
  <c r="K29" i="50" s="1"/>
  <c r="AG29" i="50"/>
  <c r="F29" i="50" s="1" a="1"/>
  <c r="F29" i="50" s="1"/>
  <c r="AK21" i="50"/>
  <c r="K21" i="50" s="1" a="1"/>
  <c r="K21" i="50" s="1"/>
  <c r="AG21" i="50"/>
  <c r="F21" i="50" s="1" a="1"/>
  <c r="F21" i="50" s="1"/>
  <c r="AK20" i="47"/>
  <c r="K20" i="47" s="1" a="1"/>
  <c r="K20" i="47" s="1"/>
  <c r="AG20" i="47"/>
  <c r="F20" i="47" s="1" a="1"/>
  <c r="F20" i="47" s="1"/>
  <c r="AG19" i="50"/>
  <c r="F19" i="50" s="1" a="1"/>
  <c r="F19" i="50" s="1"/>
  <c r="AK19" i="50"/>
  <c r="K19" i="50" s="1" a="1"/>
  <c r="K19" i="50" s="1"/>
  <c r="L12" i="26" l="1"/>
  <c r="O24" i="54"/>
  <c r="C12" i="53" s="1"/>
  <c r="S19" i="53" s="1"/>
  <c r="S20" i="53"/>
  <c r="G13" i="53"/>
  <c r="N13" i="53" s="1"/>
  <c r="I16" i="53"/>
  <c r="M16" i="53" s="1"/>
  <c r="N16" i="53"/>
  <c r="G14" i="53"/>
  <c r="S21" i="53"/>
  <c r="G15" i="53"/>
  <c r="S22" i="53"/>
  <c r="F23" i="54" a="1"/>
  <c r="F23" i="54" s="1"/>
  <c r="O23" i="54" s="1"/>
  <c r="C11" i="53" s="1"/>
  <c r="S18" i="53" s="1"/>
  <c r="O22" i="54"/>
  <c r="C10" i="53" s="1"/>
  <c r="S17" i="53" s="1"/>
  <c r="O21" i="54"/>
  <c r="C9" i="53" s="1"/>
  <c r="S16" i="53" s="1"/>
  <c r="G17" i="53"/>
  <c r="AT3" i="20"/>
  <c r="AI3" i="20" s="1"/>
  <c r="E7" i="53"/>
  <c r="T14" i="53" s="1"/>
  <c r="AT3" i="54"/>
  <c r="AI3" i="54" s="1"/>
  <c r="O20" i="54"/>
  <c r="C8" i="53" s="1"/>
  <c r="S15" i="53" s="1"/>
  <c r="O21" i="47"/>
  <c r="O20" i="47"/>
  <c r="O23" i="50"/>
  <c r="O19" i="47"/>
  <c r="AT3" i="47" s="1"/>
  <c r="AI3" i="47" s="1"/>
  <c r="O19" i="50"/>
  <c r="AT3" i="50" s="1"/>
  <c r="AI3" i="50" s="1"/>
  <c r="O22" i="47"/>
  <c r="O22" i="50"/>
  <c r="O21" i="50"/>
  <c r="O20" i="50"/>
  <c r="L12" i="45"/>
  <c r="L12" i="30"/>
  <c r="L12" i="28"/>
  <c r="L12" i="27"/>
  <c r="L12" i="32"/>
  <c r="L12" i="31"/>
  <c r="L12" i="48"/>
  <c r="L12" i="29"/>
  <c r="L12" i="51"/>
  <c r="L12" i="49"/>
  <c r="L12" i="46"/>
  <c r="L12" i="44"/>
  <c r="L12" i="25"/>
  <c r="L12" i="43"/>
  <c r="L12" i="33"/>
  <c r="L12" i="54" l="1"/>
  <c r="L12" i="47"/>
  <c r="G12" i="53"/>
  <c r="I12" i="53" s="1"/>
  <c r="M12" i="53" s="1"/>
  <c r="I13" i="53"/>
  <c r="M13" i="53" s="1"/>
  <c r="L12" i="20"/>
  <c r="U23" i="53"/>
  <c r="I17" i="53"/>
  <c r="I14" i="53"/>
  <c r="M14" i="53" s="1"/>
  <c r="I15" i="53"/>
  <c r="M15" i="53" s="1"/>
  <c r="N14" i="53"/>
  <c r="N15" i="53"/>
  <c r="G9" i="53"/>
  <c r="G8" i="53"/>
  <c r="G11" i="53"/>
  <c r="G10" i="53"/>
  <c r="G7" i="53"/>
  <c r="N7" i="53" s="1"/>
  <c r="N17" i="53"/>
  <c r="L12" i="50"/>
  <c r="A10" i="49"/>
  <c r="A10" i="32"/>
  <c r="A10" i="20"/>
  <c r="A10" i="44"/>
  <c r="A10" i="27"/>
  <c r="A10" i="51"/>
  <c r="A10" i="43"/>
  <c r="A10" i="26"/>
  <c r="A10" i="46"/>
  <c r="A10" i="29"/>
  <c r="A10" i="45"/>
  <c r="A10" i="48"/>
  <c r="A10" i="47"/>
  <c r="A10" i="50"/>
  <c r="A10" i="25"/>
  <c r="A10" i="28"/>
  <c r="A10" i="31"/>
  <c r="A10" i="30"/>
  <c r="A10" i="33"/>
  <c r="N12" i="53" l="1"/>
  <c r="A12" i="53" s="1"/>
  <c r="A13" i="53"/>
  <c r="V20" i="53" s="1"/>
  <c r="U20" i="53"/>
  <c r="U24" i="53"/>
  <c r="M17" i="53"/>
  <c r="U19" i="53"/>
  <c r="U22" i="53"/>
  <c r="I11" i="53"/>
  <c r="M11" i="53" s="1"/>
  <c r="I8" i="53"/>
  <c r="M8" i="53" s="1"/>
  <c r="I10" i="53"/>
  <c r="M10" i="53" s="1"/>
  <c r="I9" i="53"/>
  <c r="M9" i="53" s="1"/>
  <c r="U21" i="53"/>
  <c r="I7" i="53"/>
  <c r="M7" i="53" s="1"/>
  <c r="N9" i="53"/>
  <c r="N8" i="53"/>
  <c r="N10" i="53"/>
  <c r="N11" i="53"/>
  <c r="L13" i="53" l="1"/>
  <c r="A7" i="53"/>
  <c r="L7" i="53" s="1"/>
  <c r="U15" i="53"/>
  <c r="U17" i="53"/>
  <c r="U18" i="53"/>
  <c r="U14" i="53"/>
  <c r="V19" i="53"/>
  <c r="L12" i="53"/>
  <c r="A10" i="53"/>
  <c r="A9" i="53"/>
  <c r="U16" i="53"/>
  <c r="A8" i="53"/>
  <c r="A11" i="53"/>
  <c r="A15" i="53"/>
  <c r="A17" i="53"/>
  <c r="A16" i="53"/>
  <c r="A14" i="53"/>
  <c r="J52" i="1"/>
  <c r="V24" i="53" l="1"/>
  <c r="L17" i="53"/>
  <c r="V15" i="53"/>
  <c r="L8" i="53"/>
  <c r="V22" i="53"/>
  <c r="L15" i="53"/>
  <c r="V16" i="53"/>
  <c r="L9" i="53"/>
  <c r="V17" i="53"/>
  <c r="L10" i="53"/>
  <c r="V18" i="53"/>
  <c r="L11" i="53"/>
  <c r="V21" i="53"/>
  <c r="L14" i="53"/>
  <c r="V23" i="53"/>
  <c r="L16" i="53"/>
  <c r="V14" i="53"/>
  <c r="H49" i="48"/>
  <c r="H49" i="44"/>
  <c r="H49" i="33"/>
  <c r="H49" i="20"/>
  <c r="H49" i="49"/>
  <c r="D30" i="53"/>
  <c r="H49" i="50"/>
  <c r="H49" i="31"/>
  <c r="H49" i="25"/>
  <c r="H49" i="47"/>
  <c r="H49" i="46"/>
  <c r="H49" i="51"/>
  <c r="H49" i="30"/>
  <c r="H49" i="32"/>
  <c r="H49" i="29"/>
  <c r="H49" i="27"/>
  <c r="H49" i="54"/>
  <c r="H49" i="28"/>
  <c r="H49" i="43"/>
  <c r="H49" i="45"/>
  <c r="H49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<sst xmlns="http://schemas.openxmlformats.org/spreadsheetml/2006/main" count="2729" uniqueCount="453">
  <si>
    <t>--</t>
    <phoneticPr fontId="2" type="noConversion"/>
  </si>
  <si>
    <t>□</t>
  </si>
  <si>
    <t>■</t>
  </si>
  <si>
    <t>(W)</t>
    <phoneticPr fontId="2" type="noConversion"/>
  </si>
  <si>
    <t>(min)</t>
    <phoneticPr fontId="2" type="noConversion"/>
  </si>
  <si>
    <t>CH798</t>
    <phoneticPr fontId="2" type="noConversion"/>
  </si>
  <si>
    <t>CH791</t>
    <phoneticPr fontId="2" type="noConversion"/>
  </si>
  <si>
    <t>CH852</t>
    <phoneticPr fontId="2" type="noConversion"/>
  </si>
  <si>
    <t>MultiPREP41</t>
    <phoneticPr fontId="2" type="noConversion"/>
  </si>
  <si>
    <t>MAXI-44</t>
    <phoneticPr fontId="2" type="noConversion"/>
  </si>
  <si>
    <t>mL</t>
    <phoneticPr fontId="2" type="noConversion"/>
  </si>
  <si>
    <t>#</t>
    <phoneticPr fontId="14" type="noConversion"/>
  </si>
  <si>
    <r>
      <rPr>
        <sz val="10"/>
        <rFont val="微軟正黑體"/>
        <family val="2"/>
        <charset val="136"/>
      </rPr>
      <t>電子天平</t>
    </r>
  </si>
  <si>
    <r>
      <rPr>
        <sz val="10"/>
        <rFont val="微軟正黑體"/>
        <family val="2"/>
        <charset val="136"/>
      </rPr>
      <t>加熱塊</t>
    </r>
    <r>
      <rPr>
        <sz val="10"/>
        <rFont val="Calibri"/>
        <family val="2"/>
      </rPr>
      <t xml:space="preserve"> </t>
    </r>
  </si>
  <si>
    <t xml:space="preserve">ICP-MS </t>
    <phoneticPr fontId="14" type="noConversion"/>
  </si>
  <si>
    <t>CH673</t>
    <phoneticPr fontId="14" type="noConversion"/>
  </si>
  <si>
    <r>
      <rPr>
        <sz val="11"/>
        <color theme="1"/>
        <rFont val="微軟正黑體"/>
        <family val="2"/>
        <charset val="136"/>
      </rPr>
      <t>□</t>
    </r>
    <phoneticPr fontId="2" type="noConversion"/>
  </si>
  <si>
    <r>
      <rPr>
        <sz val="11"/>
        <color theme="1"/>
        <rFont val="微軟正黑體"/>
        <family val="2"/>
        <charset val="136"/>
      </rPr>
      <t>■</t>
    </r>
    <phoneticPr fontId="2" type="noConversion"/>
  </si>
  <si>
    <t>灰化法</t>
    <phoneticPr fontId="2" type="noConversion"/>
  </si>
  <si>
    <t>審核人員：</t>
    <phoneticPr fontId="2" type="noConversion"/>
  </si>
  <si>
    <r>
      <rPr>
        <b/>
        <sz val="12"/>
        <color theme="1"/>
        <rFont val="微軟正黑體"/>
        <family val="2"/>
        <charset val="136"/>
      </rPr>
      <t>消化液</t>
    </r>
    <phoneticPr fontId="2" type="noConversion"/>
  </si>
  <si>
    <t>mL</t>
    <phoneticPr fontId="2" type="noConversion"/>
  </si>
  <si>
    <t>F.R.</t>
    <phoneticPr fontId="2" type="noConversion"/>
  </si>
  <si>
    <r>
      <t>Job No.</t>
    </r>
    <r>
      <rPr>
        <b/>
        <sz val="10"/>
        <rFont val="微軟正黑體"/>
        <family val="2"/>
        <charset val="136"/>
      </rPr>
      <t>：</t>
    </r>
    <phoneticPr fontId="14" type="noConversion"/>
  </si>
  <si>
    <r>
      <rPr>
        <sz val="10"/>
        <rFont val="微軟正黑體"/>
        <family val="2"/>
        <charset val="136"/>
      </rPr>
      <t>□</t>
    </r>
    <phoneticPr fontId="14" type="noConversion"/>
  </si>
  <si>
    <r>
      <rPr>
        <sz val="10"/>
        <rFont val="微軟正黑體"/>
        <family val="2"/>
        <charset val="136"/>
      </rPr>
      <t>■</t>
    </r>
    <phoneticPr fontId="14" type="noConversion"/>
  </si>
  <si>
    <r>
      <rPr>
        <b/>
        <sz val="10"/>
        <rFont val="微軟正黑體"/>
        <family val="2"/>
        <charset val="136"/>
      </rPr>
      <t>測試方法：</t>
    </r>
    <phoneticPr fontId="2" type="noConversion"/>
  </si>
  <si>
    <r>
      <rPr>
        <sz val="10"/>
        <rFont val="微軟正黑體"/>
        <family val="2"/>
        <charset val="136"/>
      </rPr>
      <t>使用儀器</t>
    </r>
    <r>
      <rPr>
        <sz val="10"/>
        <rFont val="Calibri"/>
        <family val="2"/>
      </rPr>
      <t>:</t>
    </r>
    <phoneticPr fontId="14" type="noConversion"/>
  </si>
  <si>
    <r>
      <rPr>
        <sz val="10"/>
        <rFont val="微軟正黑體"/>
        <family val="2"/>
        <charset val="136"/>
      </rPr>
      <t>灰化爐</t>
    </r>
    <r>
      <rPr>
        <sz val="10"/>
        <rFont val="Calibri"/>
        <family val="2"/>
      </rPr>
      <t xml:space="preserve"> </t>
    </r>
    <phoneticPr fontId="14" type="noConversion"/>
  </si>
  <si>
    <r>
      <rPr>
        <sz val="10"/>
        <rFont val="微軟正黑體"/>
        <family val="2"/>
        <charset val="136"/>
      </rPr>
      <t>備註</t>
    </r>
    <r>
      <rPr>
        <sz val="10"/>
        <rFont val="Calibri"/>
        <family val="2"/>
      </rPr>
      <t xml:space="preserve">: </t>
    </r>
    <r>
      <rPr>
        <vertAlign val="superscript"/>
        <sz val="10"/>
        <rFont val="Calibri"/>
        <family val="2"/>
      </rPr>
      <t>#</t>
    </r>
    <r>
      <rPr>
        <sz val="10"/>
        <rFont val="Calibri"/>
        <family val="2"/>
      </rPr>
      <t>:In house method(</t>
    </r>
    <r>
      <rPr>
        <sz val="10"/>
        <rFont val="微軟正黑體"/>
        <family val="2"/>
        <charset val="136"/>
      </rPr>
      <t>不在公告方法範圍之元素或測試方法微調</t>
    </r>
    <r>
      <rPr>
        <sz val="10"/>
        <rFont val="Calibri"/>
        <family val="2"/>
      </rPr>
      <t>)</t>
    </r>
    <phoneticPr fontId="14" type="noConversion"/>
  </si>
  <si>
    <t xml:space="preserve">                 </t>
    <phoneticPr fontId="31" type="noConversion"/>
  </si>
  <si>
    <r>
      <rPr>
        <sz val="10"/>
        <rFont val="微軟正黑體"/>
        <family val="2"/>
        <charset val="136"/>
      </rPr>
      <t>計算公式</t>
    </r>
    <r>
      <rPr>
        <sz val="10"/>
        <rFont val="Calibri"/>
        <family val="2"/>
      </rPr>
      <t xml:space="preserve"> : </t>
    </r>
    <r>
      <rPr>
        <sz val="11"/>
        <rFont val="微軟正黑體"/>
        <family val="2"/>
        <charset val="136"/>
      </rPr>
      <t/>
    </r>
    <phoneticPr fontId="31" type="noConversion"/>
  </si>
  <si>
    <t>加熱塊消化法</t>
    <phoneticPr fontId="2" type="noConversion"/>
  </si>
  <si>
    <t>微波消化法</t>
    <phoneticPr fontId="2" type="noConversion"/>
  </si>
  <si>
    <t>測試元素</t>
    <phoneticPr fontId="14" type="noConversion"/>
  </si>
  <si>
    <t>測項名稱</t>
  </si>
  <si>
    <t>批次：</t>
    <phoneticPr fontId="2" type="noConversion"/>
  </si>
  <si>
    <t>元素</t>
    <phoneticPr fontId="2" type="noConversion"/>
  </si>
  <si>
    <r>
      <rPr>
        <b/>
        <sz val="10"/>
        <rFont val="微軟正黑體"/>
        <family val="2"/>
        <charset val="136"/>
      </rPr>
      <t>樣品名稱：</t>
    </r>
    <phoneticPr fontId="2" type="noConversion"/>
  </si>
  <si>
    <r>
      <rPr>
        <b/>
        <sz val="10"/>
        <rFont val="微軟正黑體"/>
        <family val="2"/>
        <charset val="136"/>
      </rPr>
      <t>消化液</t>
    </r>
    <phoneticPr fontId="2" type="noConversion"/>
  </si>
  <si>
    <r>
      <rPr>
        <sz val="10"/>
        <rFont val="微軟正黑體"/>
        <family val="2"/>
        <charset val="136"/>
      </rPr>
      <t>硝酸</t>
    </r>
    <phoneticPr fontId="2" type="noConversion"/>
  </si>
  <si>
    <r>
      <rPr>
        <sz val="10"/>
        <rFont val="微軟正黑體"/>
        <family val="2"/>
        <charset val="136"/>
      </rPr>
      <t>超純硝酸</t>
    </r>
    <phoneticPr fontId="2" type="noConversion"/>
  </si>
  <si>
    <r>
      <rPr>
        <sz val="10"/>
        <rFont val="微軟正黑體"/>
        <family val="2"/>
        <charset val="136"/>
      </rPr>
      <t>鹽酸</t>
    </r>
    <phoneticPr fontId="2" type="noConversion"/>
  </si>
  <si>
    <r>
      <rPr>
        <sz val="10"/>
        <rFont val="微軟正黑體"/>
        <family val="2"/>
        <charset val="136"/>
      </rPr>
      <t>過氧化氫</t>
    </r>
    <phoneticPr fontId="2" type="noConversion"/>
  </si>
  <si>
    <r>
      <rPr>
        <sz val="10"/>
        <rFont val="微軟正黑體"/>
        <family val="2"/>
        <charset val="136"/>
      </rPr>
      <t>氫氟酸</t>
    </r>
    <phoneticPr fontId="2" type="noConversion"/>
  </si>
  <si>
    <t>其他：</t>
    <phoneticPr fontId="2" type="noConversion"/>
  </si>
  <si>
    <t xml:space="preserve"> sample1</t>
    <phoneticPr fontId="2" type="noConversion"/>
  </si>
  <si>
    <t xml:space="preserve"> sample2</t>
  </si>
  <si>
    <t xml:space="preserve"> sample3</t>
  </si>
  <si>
    <t xml:space="preserve"> sample4</t>
  </si>
  <si>
    <t xml:space="preserve"> sample5</t>
  </si>
  <si>
    <t xml:space="preserve"> sample6</t>
  </si>
  <si>
    <t xml:space="preserve"> sample7</t>
  </si>
  <si>
    <t xml:space="preserve"> sample8</t>
  </si>
  <si>
    <t xml:space="preserve"> sample9</t>
  </si>
  <si>
    <t xml:space="preserve"> sample10</t>
  </si>
  <si>
    <t xml:space="preserve"> sample11</t>
  </si>
  <si>
    <t xml:space="preserve"> sample12</t>
  </si>
  <si>
    <t xml:space="preserve"> sample13</t>
  </si>
  <si>
    <t xml:space="preserve"> sample14</t>
  </si>
  <si>
    <t xml:space="preserve"> sample15</t>
  </si>
  <si>
    <t xml:space="preserve"> sample16</t>
  </si>
  <si>
    <t xml:space="preserve"> sample17</t>
  </si>
  <si>
    <t xml:space="preserve"> sample18</t>
  </si>
  <si>
    <t xml:space="preserve"> sample19</t>
  </si>
  <si>
    <t xml:space="preserve"> sample20</t>
  </si>
  <si>
    <t>批次表</t>
    <phoneticPr fontId="2" type="noConversion"/>
  </si>
  <si>
    <t>樣品清單</t>
    <phoneticPr fontId="2" type="noConversion"/>
  </si>
  <si>
    <t>No.</t>
    <phoneticPr fontId="2" type="noConversion"/>
  </si>
  <si>
    <t>元素</t>
    <phoneticPr fontId="2" type="noConversion"/>
  </si>
  <si>
    <t>--</t>
    <phoneticPr fontId="2" type="noConversion"/>
  </si>
  <si>
    <t>備註</t>
    <phoneticPr fontId="2" type="noConversion"/>
  </si>
  <si>
    <t>CK</t>
    <phoneticPr fontId="2" type="noConversion"/>
  </si>
  <si>
    <t>SK</t>
    <phoneticPr fontId="2" type="noConversion"/>
  </si>
  <si>
    <t>R</t>
    <phoneticPr fontId="2" type="noConversion"/>
  </si>
  <si>
    <t>前處理人員：</t>
    <phoneticPr fontId="2" type="noConversion"/>
  </si>
  <si>
    <t>數據分析人員：</t>
    <phoneticPr fontId="14" type="noConversion"/>
  </si>
  <si>
    <t>審核人員：</t>
    <phoneticPr fontId="14" type="noConversion"/>
  </si>
  <si>
    <t>LOQ</t>
    <phoneticPr fontId="2" type="noConversion"/>
  </si>
  <si>
    <t>共用樣品</t>
  </si>
  <si>
    <t>審核：</t>
    <phoneticPr fontId="14" type="noConversion"/>
  </si>
  <si>
    <t>QC Data Check</t>
    <phoneticPr fontId="2" type="noConversion"/>
  </si>
  <si>
    <t>Job number Check</t>
    <phoneticPr fontId="2" type="noConversion"/>
  </si>
  <si>
    <t>Data Check</t>
    <phoneticPr fontId="2" type="noConversion"/>
  </si>
  <si>
    <t>樣品未全溶</t>
    <phoneticPr fontId="14" type="noConversion"/>
  </si>
  <si>
    <t>重金屬前處理批次表</t>
    <phoneticPr fontId="2" type="noConversion"/>
  </si>
  <si>
    <t>重金屬測試紀錄表(ICP-MS)</t>
    <phoneticPr fontId="14" type="noConversion"/>
  </si>
  <si>
    <t>定量體積(V)：</t>
    <phoneticPr fontId="2" type="noConversion"/>
  </si>
  <si>
    <t>樣品濃度</t>
    <phoneticPr fontId="2" type="noConversion"/>
  </si>
  <si>
    <t>分析值</t>
    <phoneticPr fontId="2" type="noConversion"/>
  </si>
  <si>
    <t>空白檢液</t>
    <phoneticPr fontId="2" type="noConversion"/>
  </si>
  <si>
    <r>
      <t>C</t>
    </r>
    <r>
      <rPr>
        <vertAlign val="subscript"/>
        <sz val="10"/>
        <rFont val="Calibri"/>
        <family val="2"/>
      </rPr>
      <t>0</t>
    </r>
    <phoneticPr fontId="2" type="noConversion"/>
  </si>
  <si>
    <t>F</t>
    <phoneticPr fontId="2" type="noConversion"/>
  </si>
  <si>
    <r>
      <rPr>
        <sz val="10"/>
        <rFont val="微軟正黑體"/>
        <family val="2"/>
        <charset val="136"/>
      </rPr>
      <t>稀釋
倍數</t>
    </r>
    <phoneticPr fontId="2" type="noConversion"/>
  </si>
  <si>
    <t>C</t>
    <phoneticPr fontId="2" type="noConversion"/>
  </si>
  <si>
    <r>
      <rPr>
        <sz val="11"/>
        <color theme="1"/>
        <rFont val="微軟正黑體"/>
        <family val="2"/>
        <charset val="136"/>
      </rPr>
      <t>測試方法</t>
    </r>
  </si>
  <si>
    <r>
      <t xml:space="preserve">SC17-CHI730C USP 233 </t>
    </r>
    <r>
      <rPr>
        <sz val="11"/>
        <color theme="1"/>
        <rFont val="微軟正黑體"/>
        <family val="2"/>
        <charset val="136"/>
      </rPr>
      <t>元素不純物測試標準作業辦法</t>
    </r>
  </si>
  <si>
    <t>--</t>
  </si>
  <si>
    <r>
      <rPr>
        <sz val="11"/>
        <color theme="1"/>
        <rFont val="微軟正黑體"/>
        <family val="2"/>
        <charset val="136"/>
      </rPr>
      <t>硝酸</t>
    </r>
    <phoneticPr fontId="2" type="noConversion"/>
  </si>
  <si>
    <r>
      <rPr>
        <sz val="11"/>
        <color theme="1"/>
        <rFont val="微軟正黑體"/>
        <family val="2"/>
        <charset val="136"/>
      </rPr>
      <t>超純硝酸</t>
    </r>
    <phoneticPr fontId="2" type="noConversion"/>
  </si>
  <si>
    <r>
      <rPr>
        <sz val="11"/>
        <color theme="1"/>
        <rFont val="微軟正黑體"/>
        <family val="2"/>
        <charset val="136"/>
      </rPr>
      <t>鹽酸</t>
    </r>
    <phoneticPr fontId="2" type="noConversion"/>
  </si>
  <si>
    <r>
      <rPr>
        <sz val="11"/>
        <color theme="1"/>
        <rFont val="微軟正黑體"/>
        <family val="2"/>
        <charset val="136"/>
      </rPr>
      <t>氫氟酸</t>
    </r>
    <phoneticPr fontId="2" type="noConversion"/>
  </si>
  <si>
    <r>
      <rPr>
        <sz val="11"/>
        <color theme="1"/>
        <rFont val="微軟正黑體"/>
        <family val="2"/>
        <charset val="136"/>
      </rPr>
      <t>過氧化氫</t>
    </r>
    <phoneticPr fontId="2" type="noConversion"/>
  </si>
  <si>
    <r>
      <rPr>
        <sz val="11"/>
        <color theme="1"/>
        <rFont val="微軟正黑體"/>
        <family val="2"/>
        <charset val="136"/>
      </rPr>
      <t>內標</t>
    </r>
    <phoneticPr fontId="2" type="noConversion"/>
  </si>
  <si>
    <r>
      <rPr>
        <sz val="11"/>
        <color theme="1"/>
        <rFont val="微軟正黑體"/>
        <family val="2"/>
        <charset val="136"/>
      </rPr>
      <t>定量體積</t>
    </r>
    <phoneticPr fontId="2" type="noConversion"/>
  </si>
  <si>
    <r>
      <t xml:space="preserve">SC17-CHI703C </t>
    </r>
    <r>
      <rPr>
        <sz val="11"/>
        <color theme="1"/>
        <rFont val="微軟正黑體"/>
        <family val="2"/>
        <charset val="136"/>
      </rPr>
      <t>食品中重金屬含量測試標準作業辦法</t>
    </r>
    <r>
      <rPr>
        <sz val="11"/>
        <color theme="1"/>
        <rFont val="Calibri"/>
        <family val="2"/>
      </rPr>
      <t>(0.5 g_25 mL)</t>
    </r>
    <phoneticPr fontId="2" type="noConversion"/>
  </si>
  <si>
    <r>
      <t xml:space="preserve">SC17-CHI710C </t>
    </r>
    <r>
      <rPr>
        <sz val="11"/>
        <color theme="1"/>
        <rFont val="微軟正黑體"/>
        <family val="2"/>
        <charset val="136"/>
      </rPr>
      <t>食鹽中重金屬含量測試標準作業辦法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</si>
  <si>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SC17-CHI713C </t>
    </r>
    <r>
      <rPr>
        <sz val="11"/>
        <color theme="1"/>
        <rFont val="微軟正黑體"/>
        <family val="2"/>
        <charset val="136"/>
      </rPr>
      <t>菇蕈類中重金屬檢測標準作業辦法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乾品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</si>
  <si>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SC17-CHI713C </t>
    </r>
    <r>
      <rPr>
        <sz val="11"/>
        <color theme="1"/>
        <rFont val="微軟正黑體"/>
        <family val="2"/>
        <charset val="136"/>
      </rPr>
      <t>菇蕈類中重金屬檢測標準作業辦法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生鮮</t>
    </r>
    <r>
      <rPr>
        <sz val="11"/>
        <color theme="1"/>
        <rFont val="Calibri"/>
        <family val="2"/>
      </rPr>
      <t>(2 g_50 mL)</t>
    </r>
  </si>
  <si>
    <r>
      <t xml:space="preserve">SC17-CHI718C </t>
    </r>
    <r>
      <rPr>
        <sz val="11"/>
        <color theme="1"/>
        <rFont val="微軟正黑體"/>
        <family val="2"/>
        <charset val="136"/>
      </rPr>
      <t>包裝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盛裝</t>
    </r>
    <r>
      <rPr>
        <sz val="11"/>
        <color theme="1"/>
        <rFont val="Calibri"/>
        <family val="2"/>
      </rPr>
      <t>)</t>
    </r>
    <r>
      <rPr>
        <sz val="11"/>
        <color theme="1"/>
        <rFont val="微軟正黑體"/>
        <family val="2"/>
        <charset val="136"/>
      </rPr>
      <t>飲用水及食用冰塊中重金屬檢驗之標準作業辦法</t>
    </r>
    <r>
      <rPr>
        <sz val="11"/>
        <color theme="1"/>
        <rFont val="Calibri"/>
        <family val="2"/>
      </rPr>
      <t>(10 g_20 mL)</t>
    </r>
    <phoneticPr fontId="2" type="noConversion"/>
  </si>
  <si>
    <r>
      <t xml:space="preserve">SC17-CHI731C </t>
    </r>
    <r>
      <rPr>
        <sz val="11"/>
        <color theme="1"/>
        <rFont val="微軟正黑體"/>
        <family val="2"/>
        <charset val="136"/>
      </rPr>
      <t>飲料及乳品中重金屬檢驗標準作業辦法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液狀</t>
    </r>
    <r>
      <rPr>
        <sz val="11"/>
        <color theme="1"/>
        <rFont val="Calibri"/>
        <family val="2"/>
      </rPr>
      <t>(2 g_50 mL)</t>
    </r>
    <phoneticPr fontId="2" type="noConversion"/>
  </si>
  <si>
    <r>
      <t xml:space="preserve">SC17-CHI731C </t>
    </r>
    <r>
      <rPr>
        <sz val="11"/>
        <color theme="1"/>
        <rFont val="微軟正黑體"/>
        <family val="2"/>
        <charset val="136"/>
      </rPr>
      <t>飲料及乳品中重金屬檢驗標準作業辦法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粉狀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</si>
  <si>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SC17-CHI732C </t>
    </r>
    <r>
      <rPr>
        <sz val="11"/>
        <color theme="1"/>
        <rFont val="微軟正黑體"/>
        <family val="2"/>
        <charset val="136"/>
      </rPr>
      <t>蔬果植物類、果醬和果凍食品中重金屬檢驗標準作業辦法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乾品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</si>
  <si>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SC17-CHI734C </t>
    </r>
    <r>
      <rPr>
        <sz val="11"/>
        <color theme="1"/>
        <rFont val="微軟正黑體"/>
        <family val="2"/>
        <charset val="136"/>
      </rPr>
      <t>罐頭中重金屬檢驗標準作業辦法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食品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</si>
  <si>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SC17-CHI734C </t>
    </r>
    <r>
      <rPr>
        <sz val="11"/>
        <color theme="1"/>
        <rFont val="微軟正黑體"/>
        <family val="2"/>
        <charset val="136"/>
      </rPr>
      <t>罐頭中重金屬檢驗標準作業辦法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油脂</t>
    </r>
    <r>
      <rPr>
        <sz val="11"/>
        <color theme="1"/>
        <rFont val="Calibri"/>
        <family val="2"/>
      </rPr>
      <t>(0.4 g_50 mL)</t>
    </r>
    <phoneticPr fontId="2" type="noConversion"/>
  </si>
  <si>
    <r>
      <t xml:space="preserve">SC17-CHI735C </t>
    </r>
    <r>
      <rPr>
        <sz val="11"/>
        <color theme="1"/>
        <rFont val="微軟正黑體"/>
        <family val="2"/>
        <charset val="136"/>
      </rPr>
      <t>穀類中重金屬檢驗標準作業辦法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</si>
  <si>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SC17-CHI736C </t>
    </r>
    <r>
      <rPr>
        <sz val="11"/>
        <color theme="1"/>
        <rFont val="微軟正黑體"/>
        <family val="2"/>
        <charset val="136"/>
      </rPr>
      <t>總重金屬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總則</t>
    </r>
    <r>
      <rPr>
        <sz val="11"/>
        <color theme="1"/>
        <rFont val="Calibri"/>
        <family val="2"/>
      </rPr>
      <t>)</t>
    </r>
    <r>
      <rPr>
        <sz val="11"/>
        <color theme="1"/>
        <rFont val="微軟正黑體"/>
        <family val="2"/>
        <charset val="136"/>
      </rPr>
      <t>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溶出</t>
    </r>
    <r>
      <rPr>
        <sz val="11"/>
        <color theme="1"/>
        <rFont val="Calibri"/>
        <family val="2"/>
      </rPr>
      <t>(10 g_25 mL)</t>
    </r>
    <phoneticPr fontId="2" type="noConversion"/>
  </si>
  <si>
    <r>
      <t xml:space="preserve">SC17-CHI736C </t>
    </r>
    <r>
      <rPr>
        <sz val="11"/>
        <color theme="1"/>
        <rFont val="微軟正黑體"/>
        <family val="2"/>
        <charset val="136"/>
      </rPr>
      <t>總重金屬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總則</t>
    </r>
    <r>
      <rPr>
        <sz val="11"/>
        <color theme="1"/>
        <rFont val="Calibri"/>
        <family val="2"/>
      </rPr>
      <t>)</t>
    </r>
    <r>
      <rPr>
        <sz val="11"/>
        <color theme="1"/>
        <rFont val="微軟正黑體"/>
        <family val="2"/>
        <charset val="136"/>
      </rPr>
      <t>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食品添加物</t>
    </r>
    <r>
      <rPr>
        <sz val="11"/>
        <color theme="1"/>
        <rFont val="Calibri"/>
        <family val="2"/>
      </rPr>
      <t>(0.5 g_50 mL)</t>
    </r>
    <phoneticPr fontId="2" type="noConversion"/>
  </si>
  <si>
    <r>
      <t xml:space="preserve">SC17-CHI737C </t>
    </r>
    <r>
      <rPr>
        <sz val="11"/>
        <color theme="1"/>
        <rFont val="微軟正黑體"/>
        <family val="2"/>
        <charset val="136"/>
      </rPr>
      <t>食用洗潔劑砷之檢驗標準作業辦法</t>
    </r>
    <r>
      <rPr>
        <sz val="11"/>
        <color theme="1"/>
        <rFont val="Calibri"/>
        <family val="2"/>
      </rPr>
      <t>(1.2 g_20 mL)</t>
    </r>
    <phoneticPr fontId="2" type="noConversion"/>
  </si>
  <si>
    <t>測試元素</t>
    <phoneticPr fontId="2" type="noConversion"/>
  </si>
  <si>
    <t>SampleName</t>
    <phoneticPr fontId="2" type="noConversion"/>
  </si>
  <si>
    <t>Cr 52</t>
    <phoneticPr fontId="2" type="noConversion"/>
  </si>
  <si>
    <t>CKSK</t>
    <phoneticPr fontId="2" type="noConversion"/>
  </si>
  <si>
    <t>Pb 208</t>
    <phoneticPr fontId="2" type="noConversion"/>
  </si>
  <si>
    <t>Cd 111</t>
    <phoneticPr fontId="2" type="noConversion"/>
  </si>
  <si>
    <t>Hg 202</t>
    <phoneticPr fontId="2" type="noConversion"/>
  </si>
  <si>
    <t>As 75</t>
    <phoneticPr fontId="2" type="noConversion"/>
  </si>
  <si>
    <t>Cu 63</t>
    <phoneticPr fontId="2" type="noConversion"/>
  </si>
  <si>
    <t>Sn 120</t>
    <phoneticPr fontId="2" type="noConversion"/>
  </si>
  <si>
    <t>Sb 121</t>
    <phoneticPr fontId="2" type="noConversion"/>
  </si>
  <si>
    <t>Ni 60</t>
    <phoneticPr fontId="2" type="noConversion"/>
  </si>
  <si>
    <t>Zn 66</t>
    <phoneticPr fontId="2" type="noConversion"/>
  </si>
  <si>
    <t>Se 78</t>
    <phoneticPr fontId="2" type="noConversion"/>
  </si>
  <si>
    <t>樣品代號</t>
    <phoneticPr fontId="2" type="noConversion"/>
  </si>
  <si>
    <t>mL</t>
    <phoneticPr fontId="2" type="noConversion"/>
  </si>
  <si>
    <t>：</t>
  </si>
  <si>
    <t>：</t>
    <phoneticPr fontId="2" type="noConversion"/>
  </si>
  <si>
    <t>N28-L-</t>
    <phoneticPr fontId="2" type="noConversion"/>
  </si>
  <si>
    <t>N24-L-</t>
    <phoneticPr fontId="2" type="noConversion"/>
  </si>
  <si>
    <t>鹽酸</t>
    <phoneticPr fontId="2" type="noConversion"/>
  </si>
  <si>
    <r>
      <t>氫氟酸</t>
    </r>
    <r>
      <rPr>
        <sz val="12"/>
        <color theme="1"/>
        <rFont val="Calibri"/>
        <family val="2"/>
      </rPr>
      <t/>
    </r>
    <phoneticPr fontId="2" type="noConversion"/>
  </si>
  <si>
    <r>
      <t>內標</t>
    </r>
    <r>
      <rPr>
        <sz val="12"/>
        <color theme="1"/>
        <rFont val="Calibri"/>
        <family val="2"/>
      </rPr>
      <t/>
    </r>
    <phoneticPr fontId="2" type="noConversion"/>
  </si>
  <si>
    <t>--</t>
    <phoneticPr fontId="2" type="noConversion"/>
  </si>
  <si>
    <t>基質不適用</t>
    <phoneticPr fontId="2" type="noConversion"/>
  </si>
  <si>
    <r>
      <t>Job No
(</t>
    </r>
    <r>
      <rPr>
        <b/>
        <sz val="9"/>
        <color rgb="FFFFFFFF"/>
        <rFont val="細明體"/>
        <family val="3"/>
        <charset val="136"/>
      </rPr>
      <t>報告號碼</t>
    </r>
    <r>
      <rPr>
        <b/>
        <sz val="9"/>
        <color rgb="FFFFFFFF"/>
        <rFont val="Calibri"/>
        <family val="2"/>
      </rPr>
      <t>)</t>
    </r>
    <phoneticPr fontId="2" type="noConversion"/>
  </si>
  <si>
    <r>
      <t>Job Reference(</t>
    </r>
    <r>
      <rPr>
        <b/>
        <sz val="9"/>
        <color rgb="FFFFFFFF"/>
        <rFont val="細明體"/>
        <family val="3"/>
        <charset val="136"/>
      </rPr>
      <t>樣品名稱</t>
    </r>
    <r>
      <rPr>
        <b/>
        <sz val="9"/>
        <color rgb="FFFFFFFF"/>
        <rFont val="Calibri"/>
        <family val="2"/>
      </rPr>
      <t>)</t>
    </r>
    <phoneticPr fontId="2" type="noConversion"/>
  </si>
  <si>
    <r>
      <t>Lab Reference(</t>
    </r>
    <r>
      <rPr>
        <b/>
        <sz val="9"/>
        <color rgb="FFFFFFFF"/>
        <rFont val="細明體"/>
        <family val="3"/>
        <charset val="136"/>
      </rPr>
      <t>測試元素</t>
    </r>
    <r>
      <rPr>
        <b/>
        <sz val="9"/>
        <color rgb="FFFFFFFF"/>
        <rFont val="Calibri"/>
        <family val="2"/>
      </rPr>
      <t>)</t>
    </r>
    <phoneticPr fontId="2" type="noConversion"/>
  </si>
  <si>
    <t>測試元素修改</t>
    <phoneticPr fontId="2" type="noConversion"/>
  </si>
  <si>
    <t>進樣日期</t>
  </si>
  <si>
    <t>Job No</t>
  </si>
  <si>
    <t>組別</t>
  </si>
  <si>
    <t>樣品儲位類別</t>
  </si>
  <si>
    <t>樣品儲存位置</t>
  </si>
  <si>
    <t>樣品狀態</t>
  </si>
  <si>
    <t>Job Reference</t>
  </si>
  <si>
    <t>Lab Reference</t>
  </si>
  <si>
    <t>特殊需求</t>
    <phoneticPr fontId="2" type="noConversion"/>
  </si>
  <si>
    <t>Sample List</t>
    <phoneticPr fontId="2" type="noConversion"/>
  </si>
  <si>
    <t>管號</t>
    <phoneticPr fontId="2" type="noConversion"/>
  </si>
  <si>
    <t>定量體積(mL)</t>
    <phoneticPr fontId="2" type="noConversion"/>
  </si>
  <si>
    <t>電子天平</t>
    <phoneticPr fontId="2" type="noConversion"/>
  </si>
  <si>
    <t>微波消化裝置</t>
    <phoneticPr fontId="2" type="noConversion"/>
  </si>
  <si>
    <t>加熱塊</t>
    <phoneticPr fontId="2" type="noConversion"/>
  </si>
  <si>
    <t>灰化爐</t>
    <phoneticPr fontId="2" type="noConversion"/>
  </si>
  <si>
    <t>測試方法：</t>
    <phoneticPr fontId="2" type="noConversion"/>
  </si>
  <si>
    <t>消化時間：</t>
    <phoneticPr fontId="2" type="noConversion"/>
  </si>
  <si>
    <t>ICP-MS</t>
    <phoneticPr fontId="2" type="noConversion"/>
  </si>
  <si>
    <r>
      <t xml:space="preserve">SC17-CHI706C </t>
    </r>
    <r>
      <rPr>
        <sz val="11"/>
        <color theme="1"/>
        <rFont val="微軟正黑體"/>
        <family val="2"/>
        <charset val="136"/>
      </rPr>
      <t>中藥材及製劑中重金屬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鉛、鎘、汞、砷、銅</t>
    </r>
    <r>
      <rPr>
        <sz val="11"/>
        <color theme="1"/>
        <rFont val="Calibri"/>
        <family val="2"/>
      </rPr>
      <t>)</t>
    </r>
    <r>
      <rPr>
        <sz val="11"/>
        <color theme="1"/>
        <rFont val="微軟正黑體"/>
        <family val="2"/>
        <charset val="136"/>
      </rPr>
      <t>含量測試標準作業辦法</t>
    </r>
    <r>
      <rPr>
        <sz val="11"/>
        <color theme="1"/>
        <rFont val="Calibri"/>
        <family val="2"/>
      </rPr>
      <t>(0.2 g_20 mL)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</si>
  <si>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鉻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</si>
  <si>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鎳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</si>
  <si>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銅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</si>
  <si>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鋅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</si>
  <si>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砷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</si>
  <si>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硒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</si>
  <si>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鎘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</si>
  <si>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錫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</si>
  <si>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銻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</si>
  <si>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汞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</si>
  <si>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鉛</t>
    </r>
    <r>
      <rPr>
        <sz val="9"/>
        <color rgb="FFFFFFFF"/>
        <rFont val="Calibri"/>
        <family val="2"/>
      </rPr>
      <t>*</t>
    </r>
    <phoneticPr fontId="2" type="noConversion"/>
  </si>
  <si>
    <t>Co 59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</si>
  <si>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鈷</t>
    </r>
    <r>
      <rPr>
        <sz val="9"/>
        <color rgb="FFFFFFFF"/>
        <rFont val="Calibri"/>
        <family val="2"/>
      </rPr>
      <t>*</t>
    </r>
    <phoneticPr fontId="2" type="noConversion"/>
  </si>
  <si>
    <t>Sr 88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</si>
  <si>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鍶</t>
    </r>
    <r>
      <rPr>
        <sz val="9"/>
        <color rgb="FFFFFFFF"/>
        <rFont val="Calibri"/>
        <family val="2"/>
      </rPr>
      <t>*</t>
    </r>
    <phoneticPr fontId="2" type="noConversion"/>
  </si>
  <si>
    <t>Zr 90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</si>
  <si>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鋯</t>
    </r>
    <r>
      <rPr>
        <sz val="9"/>
        <color rgb="FFFFFFFF"/>
        <rFont val="Calibri"/>
        <family val="2"/>
      </rPr>
      <t>*</t>
    </r>
    <phoneticPr fontId="2" type="noConversion"/>
  </si>
  <si>
    <t>Ba 138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</si>
  <si>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鋇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</si>
  <si>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鉬</t>
    </r>
    <r>
      <rPr>
        <sz val="9"/>
        <color rgb="FFFFFFFF"/>
        <rFont val="Calibri"/>
        <family val="2"/>
      </rPr>
      <t>*</t>
    </r>
    <phoneticPr fontId="2" type="noConversion"/>
  </si>
  <si>
    <t>Mn 55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</si>
  <si>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錳</t>
    </r>
    <r>
      <rPr>
        <sz val="9"/>
        <color rgb="FFFFFFFF"/>
        <rFont val="Calibri"/>
        <family val="2"/>
      </rPr>
      <t>*</t>
    </r>
    <phoneticPr fontId="2" type="noConversion"/>
  </si>
  <si>
    <t>V 51</t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</si>
  <si>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釩</t>
    </r>
    <r>
      <rPr>
        <sz val="9"/>
        <color rgb="FFFFFFFF"/>
        <rFont val="Calibri"/>
        <family val="2"/>
      </rPr>
      <t>*</t>
    </r>
    <phoneticPr fontId="2" type="noConversion"/>
  </si>
  <si>
    <r>
      <t xml:space="preserve">SC17-CHI708C </t>
    </r>
    <r>
      <rPr>
        <sz val="11"/>
        <color theme="1"/>
        <rFont val="微軟正黑體"/>
        <family val="2"/>
        <charset val="136"/>
      </rPr>
      <t>化粧品中重金屬含量測試標準作業辦法</t>
    </r>
    <r>
      <rPr>
        <sz val="11"/>
        <color theme="1"/>
        <rFont val="Calibri"/>
        <family val="2"/>
      </rPr>
      <t>-TFDA(0.25 g_50 mL)</t>
    </r>
    <phoneticPr fontId="2" type="noConversion"/>
  </si>
  <si>
    <r>
      <t>*</t>
    </r>
    <r>
      <rPr>
        <sz val="9"/>
        <color rgb="FFFFFFFF"/>
        <rFont val="細明體"/>
        <family val="3"/>
        <charset val="136"/>
      </rPr>
      <t>鍺</t>
    </r>
    <r>
      <rPr>
        <sz val="9"/>
        <color rgb="FFFFFFFF"/>
        <rFont val="Calibri"/>
        <family val="2"/>
      </rPr>
      <t>*</t>
    </r>
    <phoneticPr fontId="2" type="noConversion"/>
  </si>
  <si>
    <t>Ge 72</t>
    <phoneticPr fontId="2" type="noConversion"/>
  </si>
  <si>
    <t>GB5009.11/GB5009.268-2016</t>
  </si>
  <si>
    <r>
      <rPr>
        <sz val="10"/>
        <rFont val="微軟正黑體"/>
        <family val="2"/>
        <charset val="136"/>
      </rPr>
      <t>調酸定量後直接上機</t>
    </r>
  </si>
  <si>
    <r>
      <rPr>
        <sz val="10"/>
        <rFont val="微軟正黑體"/>
        <family val="2"/>
        <charset val="136"/>
      </rPr>
      <t>樣品量不足，減量測試上修</t>
    </r>
    <r>
      <rPr>
        <sz val="10"/>
        <rFont val="Calibri"/>
        <family val="2"/>
      </rPr>
      <t>LOQ</t>
    </r>
  </si>
  <si>
    <r>
      <rPr>
        <sz val="10"/>
        <rFont val="微軟正黑體"/>
        <family val="2"/>
        <charset val="136"/>
      </rPr>
      <t>因樣品性質上修</t>
    </r>
    <r>
      <rPr>
        <sz val="10"/>
        <rFont val="Calibri"/>
        <family val="2"/>
      </rPr>
      <t>LOQ</t>
    </r>
  </si>
  <si>
    <r>
      <rPr>
        <sz val="10"/>
        <rFont val="微軟正黑體"/>
        <family val="2"/>
        <charset val="136"/>
      </rPr>
      <t>測試方法不包含此類基質</t>
    </r>
  </si>
  <si>
    <r>
      <rPr>
        <sz val="10"/>
        <rFont val="微軟正黑體"/>
        <family val="2"/>
        <charset val="136"/>
      </rPr>
      <t>以外包裝條件沖泡後測試</t>
    </r>
  </si>
  <si>
    <r>
      <rPr>
        <sz val="10"/>
        <rFont val="微軟正黑體"/>
        <family val="2"/>
        <charset val="136"/>
      </rPr>
      <t>依客戶提供之條件處理後測試</t>
    </r>
  </si>
  <si>
    <r>
      <rPr>
        <sz val="10"/>
        <rFont val="微軟正黑體"/>
        <family val="2"/>
        <charset val="136"/>
      </rPr>
      <t>取內容物測試</t>
    </r>
  </si>
  <si>
    <r>
      <t>GB5009.11</t>
    </r>
    <r>
      <rPr>
        <sz val="10"/>
        <rFont val="微軟正黑體"/>
        <family val="2"/>
        <charset val="136"/>
      </rPr>
      <t>Ⅰ</t>
    </r>
    <r>
      <rPr>
        <sz val="10"/>
        <rFont val="Calibri"/>
        <family val="2"/>
      </rPr>
      <t>(</t>
    </r>
    <r>
      <rPr>
        <sz val="10"/>
        <rFont val="微軟正黑體"/>
        <family val="2"/>
        <charset val="136"/>
      </rPr>
      <t>砷</t>
    </r>
    <r>
      <rPr>
        <sz val="10"/>
        <rFont val="Calibri"/>
        <family val="2"/>
      </rPr>
      <t>)</t>
    </r>
  </si>
  <si>
    <r>
      <t>GB5009.268-2016(</t>
    </r>
    <r>
      <rPr>
        <sz val="10"/>
        <rFont val="微軟正黑體"/>
        <family val="2"/>
        <charset val="136"/>
      </rPr>
      <t>鉛</t>
    </r>
    <r>
      <rPr>
        <sz val="10"/>
        <rFont val="Calibri"/>
        <family val="2"/>
      </rPr>
      <t>)</t>
    </r>
  </si>
  <si>
    <t>--</t>
    <phoneticPr fontId="2" type="noConversion"/>
  </si>
  <si>
    <t>請輸入</t>
    <phoneticPr fontId="14" type="noConversion"/>
  </si>
  <si>
    <t>~</t>
    <phoneticPr fontId="2" type="noConversion"/>
  </si>
  <si>
    <r>
      <rPr>
        <sz val="10"/>
        <color theme="1"/>
        <rFont val="微軟正黑體"/>
        <family val="2"/>
        <charset val="136"/>
      </rPr>
      <t>取原樣測試</t>
    </r>
  </si>
  <si>
    <r>
      <rPr>
        <sz val="10"/>
        <color theme="1"/>
        <rFont val="微軟正黑體"/>
        <family val="2"/>
        <charset val="136"/>
      </rPr>
      <t>可食部位未達</t>
    </r>
    <r>
      <rPr>
        <sz val="10"/>
        <color theme="1"/>
        <rFont val="Calibri"/>
        <family val="2"/>
      </rPr>
      <t>300g</t>
    </r>
    <phoneticPr fontId="2" type="noConversion"/>
  </si>
  <si>
    <t>Cu 65</t>
    <phoneticPr fontId="2" type="noConversion"/>
  </si>
  <si>
    <r>
      <t xml:space="preserve">SC17-CHI733C </t>
    </r>
    <r>
      <rPr>
        <sz val="11"/>
        <color theme="1"/>
        <rFont val="微軟正黑體"/>
        <family val="2"/>
        <charset val="136"/>
      </rPr>
      <t>蛋類中重金屬檢驗標準作業辦法</t>
    </r>
    <r>
      <rPr>
        <sz val="11"/>
        <color theme="1"/>
        <rFont val="Calibri"/>
        <family val="2"/>
      </rPr>
      <t>(0.5g_50mL)</t>
    </r>
    <phoneticPr fontId="2" type="noConversion"/>
  </si>
  <si>
    <t>CM</t>
    <phoneticPr fontId="2" type="noConversion"/>
  </si>
  <si>
    <t>CS</t>
    <phoneticPr fontId="2" type="noConversion"/>
  </si>
  <si>
    <t>S</t>
    <phoneticPr fontId="2" type="noConversion"/>
  </si>
  <si>
    <t>M</t>
    <phoneticPr fontId="2" type="noConversion"/>
  </si>
  <si>
    <t>A</t>
    <phoneticPr fontId="2" type="noConversion"/>
  </si>
  <si>
    <t>W</t>
    <phoneticPr fontId="2" type="noConversion"/>
  </si>
  <si>
    <t>DS</t>
    <phoneticPr fontId="2" type="noConversion"/>
  </si>
  <si>
    <t>D</t>
    <phoneticPr fontId="2" type="noConversion"/>
  </si>
  <si>
    <t>V</t>
    <phoneticPr fontId="2" type="noConversion"/>
  </si>
  <si>
    <t>VD</t>
    <phoneticPr fontId="2" type="noConversion"/>
  </si>
  <si>
    <t>CNO</t>
    <phoneticPr fontId="2" type="noConversion"/>
  </si>
  <si>
    <t>CN</t>
    <phoneticPr fontId="2" type="noConversion"/>
  </si>
  <si>
    <t>G</t>
    <phoneticPr fontId="2" type="noConversion"/>
  </si>
  <si>
    <t>TM</t>
    <phoneticPr fontId="2" type="noConversion"/>
  </si>
  <si>
    <t>TO</t>
    <phoneticPr fontId="2" type="noConversion"/>
  </si>
  <si>
    <t>EG</t>
    <phoneticPr fontId="2" type="noConversion"/>
  </si>
  <si>
    <r>
      <rPr>
        <b/>
        <sz val="12"/>
        <color theme="1"/>
        <rFont val="微軟正黑體"/>
        <family val="2"/>
        <charset val="136"/>
      </rPr>
      <t>使用儀器</t>
    </r>
    <phoneticPr fontId="2" type="noConversion"/>
  </si>
  <si>
    <r>
      <t>硝酸</t>
    </r>
    <r>
      <rPr>
        <sz val="12"/>
        <color theme="1"/>
        <rFont val="Calibri"/>
        <family val="2"/>
      </rPr>
      <t/>
    </r>
    <phoneticPr fontId="2" type="noConversion"/>
  </si>
  <si>
    <r>
      <t>超純硝酸</t>
    </r>
    <r>
      <rPr>
        <sz val="12"/>
        <color theme="1"/>
        <rFont val="Calibri"/>
        <family val="2"/>
      </rPr>
      <t/>
    </r>
    <phoneticPr fontId="2" type="noConversion"/>
  </si>
  <si>
    <r>
      <rPr>
        <sz val="12"/>
        <rFont val="微軟正黑體"/>
        <family val="2"/>
        <charset val="136"/>
      </rPr>
      <t>備註</t>
    </r>
    <r>
      <rPr>
        <sz val="12"/>
        <rFont val="Calibri"/>
        <family val="2"/>
      </rPr>
      <t xml:space="preserve">: </t>
    </r>
    <r>
      <rPr>
        <sz val="12"/>
        <rFont val="微軟正黑體"/>
        <family val="2"/>
        <charset val="136"/>
      </rPr>
      <t>當消化液使用氫氟酸</t>
    </r>
    <r>
      <rPr>
        <sz val="12"/>
        <rFont val="Calibri"/>
        <family val="2"/>
      </rPr>
      <t xml:space="preserve"> (HF)</t>
    </r>
    <r>
      <rPr>
        <sz val="12"/>
        <rFont val="微軟正黑體"/>
        <family val="2"/>
        <charset val="136"/>
      </rPr>
      <t>，或待測元素含</t>
    </r>
    <r>
      <rPr>
        <sz val="12"/>
        <rFont val="Calibri"/>
        <family val="2"/>
      </rPr>
      <t>Si, B, Na, K, Ca, Al</t>
    </r>
    <r>
      <rPr>
        <sz val="12"/>
        <rFont val="微軟正黑體"/>
        <family val="2"/>
        <charset val="136"/>
      </rPr>
      <t>，定量時請採用</t>
    </r>
    <r>
      <rPr>
        <sz val="12"/>
        <rFont val="Calibri"/>
        <family val="2"/>
      </rPr>
      <t>PP</t>
    </r>
    <r>
      <rPr>
        <sz val="12"/>
        <rFont val="微軟正黑體"/>
        <family val="2"/>
        <charset val="136"/>
      </rPr>
      <t>材質定量瓶。</t>
    </r>
    <phoneticPr fontId="14" type="noConversion"/>
  </si>
  <si>
    <r>
      <rPr>
        <sz val="12"/>
        <color theme="1"/>
        <rFont val="微軟正黑體"/>
        <family val="2"/>
        <charset val="136"/>
      </rPr>
      <t>條件</t>
    </r>
    <phoneticPr fontId="2" type="noConversion"/>
  </si>
  <si>
    <r>
      <rPr>
        <sz val="12"/>
        <color theme="1"/>
        <rFont val="微軟正黑體"/>
        <family val="2"/>
        <charset val="136"/>
      </rPr>
      <t>輸出功率</t>
    </r>
    <phoneticPr fontId="2" type="noConversion"/>
  </si>
  <si>
    <r>
      <rPr>
        <sz val="12"/>
        <color theme="1"/>
        <rFont val="微軟正黑體"/>
        <family val="2"/>
        <charset val="136"/>
      </rPr>
      <t>升溫時間</t>
    </r>
    <phoneticPr fontId="2" type="noConversion"/>
  </si>
  <si>
    <r>
      <rPr>
        <sz val="12"/>
        <color theme="1"/>
        <rFont val="微軟正黑體"/>
        <family val="2"/>
        <charset val="136"/>
      </rPr>
      <t>溫度控制</t>
    </r>
    <phoneticPr fontId="2" type="noConversion"/>
  </si>
  <si>
    <r>
      <rPr>
        <sz val="12"/>
        <color theme="1"/>
        <rFont val="微軟正黑體"/>
        <family val="2"/>
        <charset val="136"/>
      </rPr>
      <t>持續時間</t>
    </r>
    <phoneticPr fontId="2" type="noConversion"/>
  </si>
  <si>
    <r>
      <rPr>
        <sz val="12"/>
        <color theme="1"/>
        <rFont val="微軟正黑體"/>
        <family val="2"/>
        <charset val="136"/>
      </rPr>
      <t>步驟</t>
    </r>
    <phoneticPr fontId="2" type="noConversion"/>
  </si>
  <si>
    <r>
      <t>(</t>
    </r>
    <r>
      <rPr>
        <sz val="12"/>
        <color theme="1"/>
        <rFont val="微軟正黑體"/>
        <family val="2"/>
        <charset val="136"/>
      </rPr>
      <t>℃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</si>
  <si>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消化溫度</t>
    </r>
    <phoneticPr fontId="2" type="noConversion"/>
  </si>
  <si>
    <r>
      <rPr>
        <sz val="12"/>
        <color theme="1"/>
        <rFont val="微軟正黑體"/>
        <family val="2"/>
        <charset val="136"/>
      </rPr>
      <t>消化時間</t>
    </r>
    <phoneticPr fontId="2" type="noConversion"/>
  </si>
  <si>
    <r>
      <rPr>
        <sz val="12"/>
        <color theme="1"/>
        <rFont val="微軟正黑體"/>
        <family val="2"/>
        <charset val="136"/>
      </rPr>
      <t>步驟</t>
    </r>
    <phoneticPr fontId="2" type="noConversion"/>
  </si>
  <si>
    <r>
      <t>(</t>
    </r>
    <r>
      <rPr>
        <sz val="12"/>
        <color theme="1"/>
        <rFont val="微軟正黑體"/>
        <family val="2"/>
        <charset val="136"/>
      </rPr>
      <t>℃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</si>
  <si>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日期：</t>
    </r>
    <phoneticPr fontId="2" type="noConversion"/>
  </si>
  <si>
    <t>--</t>
    <phoneticPr fontId="2" type="noConversion"/>
  </si>
  <si>
    <t>SF</t>
    <phoneticPr fontId="2" type="noConversion"/>
  </si>
  <si>
    <t>L</t>
    <phoneticPr fontId="2" type="noConversion"/>
  </si>
  <si>
    <t>H</t>
    <phoneticPr fontId="2" type="noConversion"/>
  </si>
  <si>
    <t>O</t>
    <phoneticPr fontId="2" type="noConversion"/>
  </si>
  <si>
    <t>GB</t>
    <phoneticPr fontId="2" type="noConversion"/>
  </si>
  <si>
    <r>
      <t xml:space="preserve">SC17-CHI739C </t>
    </r>
    <r>
      <rPr>
        <sz val="11"/>
        <color theme="1"/>
        <rFont val="微軟正黑體"/>
        <family val="2"/>
        <charset val="136"/>
      </rPr>
      <t>水產動物類、禽畜產品類及蜂蜜中重金屬檢驗標準作業辦法</t>
    </r>
    <r>
      <rPr>
        <sz val="11"/>
        <color theme="1"/>
        <rFont val="Calibri"/>
        <family val="2"/>
      </rPr>
      <t xml:space="preserve"> - </t>
    </r>
    <r>
      <rPr>
        <sz val="11"/>
        <color theme="1"/>
        <rFont val="微軟正黑體"/>
        <family val="2"/>
        <charset val="136"/>
      </rPr>
      <t>水產</t>
    </r>
    <r>
      <rPr>
        <sz val="11"/>
        <color theme="1"/>
        <rFont val="Calibri"/>
        <family val="2"/>
      </rPr>
      <t>(0.5 g_50mL)</t>
    </r>
    <phoneticPr fontId="2" type="noConversion"/>
  </si>
  <si>
    <r>
      <t xml:space="preserve">SC17-CHI739C </t>
    </r>
    <r>
      <rPr>
        <sz val="11"/>
        <color theme="1"/>
        <rFont val="微軟正黑體"/>
        <family val="2"/>
        <charset val="136"/>
      </rPr>
      <t>水產動物類、禽畜產品類及蜂蜜中重金屬檢驗標準作業辦法</t>
    </r>
    <r>
      <rPr>
        <sz val="11"/>
        <color theme="1"/>
        <rFont val="Calibri"/>
        <family val="2"/>
      </rPr>
      <t xml:space="preserve"> - </t>
    </r>
    <r>
      <rPr>
        <sz val="11"/>
        <color theme="1"/>
        <rFont val="微軟正黑體"/>
        <family val="2"/>
        <charset val="136"/>
      </rPr>
      <t>禽畜</t>
    </r>
    <r>
      <rPr>
        <sz val="11"/>
        <color theme="1"/>
        <rFont val="Calibri"/>
        <family val="2"/>
      </rPr>
      <t>(0.5 g_50mL)</t>
    </r>
    <phoneticPr fontId="2" type="noConversion"/>
  </si>
  <si>
    <r>
      <t xml:space="preserve">SC17-CHI739C </t>
    </r>
    <r>
      <rPr>
        <sz val="11"/>
        <color theme="1"/>
        <rFont val="微軟正黑體"/>
        <family val="2"/>
        <charset val="136"/>
      </rPr>
      <t>水產動物類、禽畜產品類及蜂蜜中重金屬檢驗標準作業辦法</t>
    </r>
    <r>
      <rPr>
        <sz val="11"/>
        <color theme="1"/>
        <rFont val="Calibri"/>
        <family val="2"/>
      </rPr>
      <t xml:space="preserve"> - </t>
    </r>
    <r>
      <rPr>
        <sz val="11"/>
        <color theme="1"/>
        <rFont val="微軟正黑體"/>
        <family val="2"/>
        <charset val="136"/>
      </rPr>
      <t>蜂蜜</t>
    </r>
    <r>
      <rPr>
        <sz val="11"/>
        <color theme="1"/>
        <rFont val="Calibri"/>
        <family val="2"/>
      </rPr>
      <t>(0.5 g_50mL)</t>
    </r>
    <phoneticPr fontId="2" type="noConversion"/>
  </si>
  <si>
    <t>IF</t>
    <phoneticPr fontId="2" type="noConversion"/>
  </si>
  <si>
    <t>IFS</t>
    <phoneticPr fontId="2" type="noConversion"/>
  </si>
  <si>
    <t>DE</t>
    <phoneticPr fontId="2" type="noConversion"/>
  </si>
  <si>
    <r>
      <t>In House Method-</t>
    </r>
    <r>
      <rPr>
        <sz val="11"/>
        <color theme="1"/>
        <rFont val="微軟正黑體"/>
        <family val="2"/>
        <charset val="136"/>
      </rPr>
      <t>食品容器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材質砷以三氧化二砷計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乳品</t>
    </r>
    <r>
      <rPr>
        <sz val="11"/>
        <color theme="1"/>
        <rFont val="Calibri"/>
        <family val="2"/>
      </rPr>
      <t>)_(0.1g_50mL)</t>
    </r>
    <phoneticPr fontId="2" type="noConversion"/>
  </si>
  <si>
    <t>--</t>
    <phoneticPr fontId="2" type="noConversion"/>
  </si>
  <si>
    <t>ISTD correciton</t>
    <phoneticPr fontId="31" type="noConversion"/>
  </si>
  <si>
    <t xml:space="preserve">± </t>
    <phoneticPr fontId="31" type="noConversion"/>
  </si>
  <si>
    <t>≤ 0.001</t>
  </si>
  <si>
    <t>&gt;0.001 – 0.01</t>
  </si>
  <si>
    <t>&gt;0.01 – 0.1</t>
  </si>
  <si>
    <t>&gt;0.1 – 1</t>
  </si>
  <si>
    <t>RPD(%)</t>
    <phoneticPr fontId="31" type="noConversion"/>
  </si>
  <si>
    <t>mg/kg</t>
    <phoneticPr fontId="31" type="noConversion"/>
  </si>
  <si>
    <r>
      <rPr>
        <sz val="10"/>
        <color theme="1"/>
        <rFont val="微軟正黑體"/>
        <family val="2"/>
        <charset val="136"/>
      </rPr>
      <t>重複性</t>
    </r>
    <phoneticPr fontId="31" type="noConversion"/>
  </si>
  <si>
    <r>
      <rPr>
        <sz val="10"/>
        <color theme="1"/>
        <rFont val="微軟正黑體"/>
        <family val="2"/>
        <charset val="136"/>
      </rPr>
      <t>濃度範圍</t>
    </r>
    <r>
      <rPr>
        <sz val="10"/>
        <color theme="1"/>
        <rFont val="Calibri"/>
        <family val="2"/>
      </rPr>
      <t xml:space="preserve"> (ppm)</t>
    </r>
  </si>
  <si>
    <r>
      <rPr>
        <sz val="12"/>
        <rFont val="微軟正黑體"/>
        <family val="2"/>
        <charset val="136"/>
      </rPr>
      <t>判定</t>
    </r>
    <phoneticPr fontId="31" type="noConversion"/>
  </si>
  <si>
    <r>
      <rPr>
        <sz val="12"/>
        <rFont val="微軟正黑體"/>
        <family val="2"/>
        <charset val="136"/>
      </rPr>
      <t>品質要求</t>
    </r>
    <phoneticPr fontId="31" type="noConversion"/>
  </si>
  <si>
    <r>
      <rPr>
        <sz val="12"/>
        <rFont val="微軟正黑體"/>
        <family val="2"/>
        <charset val="136"/>
      </rPr>
      <t>相對差異
百分比</t>
    </r>
    <phoneticPr fontId="31" type="noConversion"/>
  </si>
  <si>
    <r>
      <rPr>
        <sz val="12"/>
        <rFont val="微軟正黑體"/>
        <family val="2"/>
        <charset val="136"/>
      </rPr>
      <t>平均值</t>
    </r>
    <phoneticPr fontId="31" type="noConversion"/>
  </si>
  <si>
    <t>重複樣品分析
檢驗值</t>
    <phoneticPr fontId="31" type="noConversion"/>
  </si>
  <si>
    <t xml:space="preserve">樣品分析
檢驗值 </t>
    <phoneticPr fontId="31" type="noConversion"/>
  </si>
  <si>
    <r>
      <t>Job No.</t>
    </r>
    <r>
      <rPr>
        <sz val="12"/>
        <rFont val="微軟正黑體"/>
        <family val="2"/>
        <charset val="136"/>
      </rPr>
      <t>：</t>
    </r>
    <phoneticPr fontId="31" type="noConversion"/>
  </si>
  <si>
    <r>
      <rPr>
        <b/>
        <sz val="16"/>
        <rFont val="微軟正黑體"/>
        <family val="2"/>
        <charset val="136"/>
      </rPr>
      <t>樣品分析與重複樣品分析數據查核紀錄表</t>
    </r>
    <r>
      <rPr>
        <b/>
        <sz val="16"/>
        <rFont val="Calibri"/>
        <family val="2"/>
      </rPr>
      <t xml:space="preserve"> (</t>
    </r>
    <r>
      <rPr>
        <b/>
        <sz val="16"/>
        <rFont val="微軟正黑體"/>
        <family val="2"/>
        <charset val="136"/>
      </rPr>
      <t>無機</t>
    </r>
    <r>
      <rPr>
        <b/>
        <sz val="16"/>
        <rFont val="Calibri"/>
        <family val="2"/>
      </rPr>
      <t>B</t>
    </r>
    <r>
      <rPr>
        <b/>
        <sz val="16"/>
        <rFont val="微軟正黑體"/>
        <family val="2"/>
        <charset val="136"/>
      </rPr>
      <t>組</t>
    </r>
    <r>
      <rPr>
        <b/>
        <sz val="16"/>
        <rFont val="Calibri"/>
        <family val="2"/>
      </rPr>
      <t>)</t>
    </r>
    <phoneticPr fontId="31" type="noConversion"/>
  </si>
  <si>
    <t>CKR</t>
    <phoneticPr fontId="2" type="noConversion"/>
  </si>
  <si>
    <t>一顆</t>
    <phoneticPr fontId="2" type="noConversion"/>
  </si>
  <si>
    <r>
      <rPr>
        <sz val="10"/>
        <color theme="1"/>
        <rFont val="細明體"/>
        <family val="2"/>
        <charset val="136"/>
      </rPr>
      <t>與</t>
    </r>
    <r>
      <rPr>
        <sz val="10"/>
        <color theme="1"/>
        <rFont val="Calibri"/>
        <family val="2"/>
      </rPr>
      <t>OES</t>
    </r>
    <r>
      <rPr>
        <sz val="10"/>
        <color theme="1"/>
        <rFont val="細明體"/>
        <family val="2"/>
        <charset val="136"/>
      </rPr>
      <t>共用報告</t>
    </r>
    <phoneticPr fontId="2" type="noConversion"/>
  </si>
  <si>
    <t>H22-L-</t>
    <phoneticPr fontId="2" type="noConversion"/>
  </si>
  <si>
    <t>As2O3 (mg/kg) = F.R. (mg/kg) x 1.32</t>
    <phoneticPr fontId="2" type="noConversion"/>
  </si>
  <si>
    <t>ng/mL</t>
    <phoneticPr fontId="2" type="noConversion"/>
  </si>
  <si>
    <t>Bi 209</t>
    <phoneticPr fontId="2" type="noConversion"/>
  </si>
  <si>
    <t>Ag 107</t>
    <phoneticPr fontId="2" type="noConversion"/>
  </si>
  <si>
    <r>
      <rPr>
        <b/>
        <sz val="10"/>
        <color rgb="FF0000FF"/>
        <rFont val="微軟正黑體"/>
        <family val="2"/>
        <charset val="136"/>
      </rPr>
      <t>當乳品及清潔劑</t>
    </r>
    <r>
      <rPr>
        <b/>
        <sz val="10"/>
        <color rgb="FF0000FF"/>
        <rFont val="Calibri"/>
        <family val="2"/>
      </rPr>
      <t>As</t>
    </r>
    <r>
      <rPr>
        <b/>
        <sz val="10"/>
        <color rgb="FF0000FF"/>
        <rFont val="微軟正黑體"/>
        <family val="2"/>
        <charset val="136"/>
      </rPr>
      <t>檢出，請將上面</t>
    </r>
    <r>
      <rPr>
        <b/>
        <sz val="10"/>
        <color rgb="FF0000FF"/>
        <rFont val="Calibri"/>
        <family val="2"/>
      </rPr>
      <t>LOQ</t>
    </r>
    <r>
      <rPr>
        <b/>
        <sz val="10"/>
        <color rgb="FF0000FF"/>
        <rFont val="微軟正黑體"/>
        <family val="2"/>
        <charset val="136"/>
      </rPr>
      <t>手動</t>
    </r>
    <r>
      <rPr>
        <b/>
        <sz val="10"/>
        <color rgb="FF0000FF"/>
        <rFont val="Calibri"/>
        <family val="2"/>
      </rPr>
      <t>key</t>
    </r>
    <r>
      <rPr>
        <b/>
        <sz val="10"/>
        <color rgb="FF0000FF"/>
        <rFont val="微軟正黑體"/>
        <family val="2"/>
        <charset val="136"/>
      </rPr>
      <t xml:space="preserve">入數值                 </t>
    </r>
    <r>
      <rPr>
        <b/>
        <sz val="10"/>
        <color rgb="FF0000FF"/>
        <rFont val="Calibri"/>
        <family val="2"/>
        <charset val="136"/>
      </rPr>
      <t xml:space="preserve"> ↑ </t>
    </r>
    <phoneticPr fontId="2" type="noConversion"/>
  </si>
  <si>
    <r>
      <t xml:space="preserve">SC17-CHI714C </t>
    </r>
    <r>
      <rPr>
        <sz val="11"/>
        <color theme="1"/>
        <rFont val="微軟正黑體"/>
        <family val="2"/>
        <charset val="136"/>
      </rPr>
      <t>酒類中鉛之檢驗標準作業辦法</t>
    </r>
    <r>
      <rPr>
        <sz val="11"/>
        <color theme="1"/>
        <rFont val="Calibri"/>
        <family val="2"/>
      </rPr>
      <t>(5 mL_25 mL)</t>
    </r>
    <phoneticPr fontId="2" type="noConversion"/>
  </si>
  <si>
    <t>年</t>
    <phoneticPr fontId="72" type="noConversion"/>
  </si>
  <si>
    <t>月</t>
    <phoneticPr fontId="72" type="noConversion"/>
  </si>
  <si>
    <t>日</t>
    <phoneticPr fontId="72" type="noConversion"/>
  </si>
  <si>
    <t>時</t>
    <phoneticPr fontId="72" type="noConversion"/>
  </si>
  <si>
    <t>分</t>
    <phoneticPr fontId="72" type="noConversion"/>
  </si>
  <si>
    <t>前處理人員</t>
    <phoneticPr fontId="2" type="noConversion"/>
  </si>
  <si>
    <t>分析人員</t>
    <phoneticPr fontId="2" type="noConversion"/>
  </si>
  <si>
    <t>前處理時間</t>
    <phoneticPr fontId="2" type="noConversion"/>
  </si>
  <si>
    <t>分析時間</t>
    <phoneticPr fontId="2" type="noConversion"/>
  </si>
  <si>
    <t>樣品名稱：</t>
    <phoneticPr fontId="2" type="noConversion"/>
  </si>
  <si>
    <t>待測物</t>
    <phoneticPr fontId="31" type="noConversion"/>
  </si>
  <si>
    <t>備註：</t>
    <phoneticPr fontId="31" type="noConversion"/>
  </si>
  <si>
    <t>*：</t>
    <phoneticPr fontId="31" type="noConversion"/>
  </si>
  <si>
    <t>待測物因濃度較低致無法納入品管圖，但符合檢驗機構化學領域檢驗結果之品質管制表三之要求範圍。</t>
    <phoneticPr fontId="2" type="noConversion"/>
  </si>
  <si>
    <t>元素</t>
    <phoneticPr fontId="81" type="noConversion"/>
  </si>
  <si>
    <t>Pb</t>
  </si>
  <si>
    <t>Cd</t>
  </si>
  <si>
    <t>As</t>
  </si>
  <si>
    <t>Cu</t>
  </si>
  <si>
    <t>Cr</t>
  </si>
  <si>
    <t>Ni</t>
  </si>
  <si>
    <t>Sn</t>
  </si>
  <si>
    <t>Sb</t>
  </si>
  <si>
    <t>Hg</t>
  </si>
  <si>
    <t>Zn</t>
  </si>
  <si>
    <t>Se</t>
  </si>
  <si>
    <t>Cu</t>
    <phoneticPr fontId="81" type="noConversion"/>
  </si>
  <si>
    <t>As</t>
    <phoneticPr fontId="81" type="noConversion"/>
  </si>
  <si>
    <t>Cd</t>
    <phoneticPr fontId="81" type="noConversion"/>
  </si>
  <si>
    <t>Hg</t>
    <phoneticPr fontId="81" type="noConversion"/>
  </si>
  <si>
    <t>Pb</t>
    <phoneticPr fontId="81" type="noConversion"/>
  </si>
  <si>
    <t>Sb</t>
    <phoneticPr fontId="81" type="noConversion"/>
  </si>
  <si>
    <t>Pb</t>
    <phoneticPr fontId="72" type="noConversion"/>
  </si>
  <si>
    <t>Cd</t>
    <phoneticPr fontId="72" type="noConversion"/>
  </si>
  <si>
    <t>測試方法</t>
  </si>
  <si>
    <r>
      <t xml:space="preserve">SC17-CHI703C </t>
    </r>
    <r>
      <rPr>
        <sz val="10"/>
        <rFont val="微軟正黑體"/>
        <family val="2"/>
        <charset val="136"/>
      </rPr>
      <t>食品中重金屬含量測試標準作業辦法</t>
    </r>
    <r>
      <rPr>
        <sz val="10"/>
        <rFont val="Calibri"/>
        <family val="2"/>
      </rPr>
      <t>(0.5 g_25 mL)</t>
    </r>
    <phoneticPr fontId="2" type="noConversion"/>
  </si>
  <si>
    <r>
      <t xml:space="preserve">SC17-CHI706C </t>
    </r>
    <r>
      <rPr>
        <sz val="10"/>
        <rFont val="微軟正黑體"/>
        <family val="2"/>
        <charset val="136"/>
      </rPr>
      <t>中藥材及製劑中重金屬</t>
    </r>
    <r>
      <rPr>
        <sz val="10"/>
        <rFont val="Calibri"/>
        <family val="2"/>
      </rPr>
      <t>(</t>
    </r>
    <r>
      <rPr>
        <sz val="10"/>
        <rFont val="微軟正黑體"/>
        <family val="2"/>
        <charset val="136"/>
      </rPr>
      <t>鉛、鎘、汞、砷、銅</t>
    </r>
    <r>
      <rPr>
        <sz val="10"/>
        <rFont val="Calibri"/>
        <family val="2"/>
      </rPr>
      <t>)</t>
    </r>
    <r>
      <rPr>
        <sz val="10"/>
        <rFont val="微軟正黑體"/>
        <family val="2"/>
        <charset val="136"/>
      </rPr>
      <t>含量測試標準作業辦法</t>
    </r>
    <r>
      <rPr>
        <sz val="10"/>
        <rFont val="Calibri"/>
        <family val="2"/>
      </rPr>
      <t>(0.2 g_20 mL)</t>
    </r>
    <phoneticPr fontId="2" type="noConversion"/>
  </si>
  <si>
    <r>
      <t xml:space="preserve">SC17-CHI708C </t>
    </r>
    <r>
      <rPr>
        <sz val="10"/>
        <rFont val="微軟正黑體"/>
        <family val="2"/>
        <charset val="136"/>
      </rPr>
      <t>化粧品中重金屬含量測試標準作業辦法</t>
    </r>
    <r>
      <rPr>
        <sz val="10"/>
        <rFont val="Calibri"/>
        <family val="2"/>
      </rPr>
      <t>-TFDA(0.25 g_50 mL)</t>
    </r>
    <phoneticPr fontId="2" type="noConversion"/>
  </si>
  <si>
    <r>
      <t xml:space="preserve">SC17-CHI710C </t>
    </r>
    <r>
      <rPr>
        <sz val="10"/>
        <rFont val="微軟正黑體"/>
        <family val="2"/>
        <charset val="136"/>
      </rPr>
      <t>食鹽中重金屬含量測試標準作業辦法</t>
    </r>
    <r>
      <rPr>
        <sz val="10"/>
        <rFont val="Calibri"/>
        <family val="2"/>
      </rPr>
      <t>(0.5 g_50 mL)</t>
    </r>
    <phoneticPr fontId="2" type="noConversion"/>
  </si>
  <si>
    <r>
      <t xml:space="preserve">SC17-CHI713C </t>
    </r>
    <r>
      <rPr>
        <sz val="10"/>
        <rFont val="微軟正黑體"/>
        <family val="2"/>
        <charset val="136"/>
      </rPr>
      <t>菇蕈類中重金屬檢測標準作業辦法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生鮮</t>
    </r>
    <r>
      <rPr>
        <sz val="10"/>
        <rFont val="Calibri"/>
        <family val="2"/>
      </rPr>
      <t>(2 g_50 mL)</t>
    </r>
    <phoneticPr fontId="2" type="noConversion"/>
  </si>
  <si>
    <r>
      <t xml:space="preserve">SC17-CHI713C </t>
    </r>
    <r>
      <rPr>
        <sz val="10"/>
        <rFont val="微軟正黑體"/>
        <family val="2"/>
        <charset val="136"/>
      </rPr>
      <t>菇蕈類中重金屬檢測標準作業辦法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乾品</t>
    </r>
    <r>
      <rPr>
        <sz val="10"/>
        <rFont val="Calibri"/>
        <family val="2"/>
      </rPr>
      <t>(0.5 g_50 mL)</t>
    </r>
    <phoneticPr fontId="2" type="noConversion"/>
  </si>
  <si>
    <r>
      <t xml:space="preserve">SC17-CHI714C </t>
    </r>
    <r>
      <rPr>
        <sz val="10"/>
        <rFont val="微軟正黑體"/>
        <family val="2"/>
        <charset val="136"/>
      </rPr>
      <t>酒類中鉛之檢驗標準作業辦法</t>
    </r>
    <r>
      <rPr>
        <sz val="10"/>
        <rFont val="Calibri"/>
        <family val="2"/>
      </rPr>
      <t>(5 mL_25 mL)</t>
    </r>
    <phoneticPr fontId="2" type="noConversion"/>
  </si>
  <si>
    <r>
      <t xml:space="preserve">SC17-CHI718C </t>
    </r>
    <r>
      <rPr>
        <sz val="10"/>
        <rFont val="微軟正黑體"/>
        <family val="2"/>
        <charset val="136"/>
      </rPr>
      <t>包裝</t>
    </r>
    <r>
      <rPr>
        <sz val="10"/>
        <rFont val="Calibri"/>
        <family val="2"/>
      </rPr>
      <t>(</t>
    </r>
    <r>
      <rPr>
        <sz val="10"/>
        <rFont val="微軟正黑體"/>
        <family val="2"/>
        <charset val="136"/>
      </rPr>
      <t>盛裝</t>
    </r>
    <r>
      <rPr>
        <sz val="10"/>
        <rFont val="Calibri"/>
        <family val="2"/>
      </rPr>
      <t>)</t>
    </r>
    <r>
      <rPr>
        <sz val="10"/>
        <rFont val="微軟正黑體"/>
        <family val="2"/>
        <charset val="136"/>
      </rPr>
      <t>飲用水及食用冰塊中重金屬檢驗之標準作業辦法</t>
    </r>
    <r>
      <rPr>
        <sz val="10"/>
        <rFont val="Calibri"/>
        <family val="2"/>
      </rPr>
      <t>(10 g_20 mL)</t>
    </r>
    <phoneticPr fontId="2" type="noConversion"/>
  </si>
  <si>
    <r>
      <rPr>
        <sz val="11"/>
        <color theme="1"/>
        <rFont val="微軟正黑體"/>
        <family val="2"/>
        <charset val="136"/>
      </rPr>
      <t>代號</t>
    </r>
    <phoneticPr fontId="2" type="noConversion"/>
  </si>
  <si>
    <r>
      <rPr>
        <sz val="11"/>
        <color theme="1"/>
        <rFont val="微軟正黑體"/>
        <family val="2"/>
        <charset val="136"/>
      </rPr>
      <t>消化條件</t>
    </r>
    <phoneticPr fontId="2" type="noConversion"/>
  </si>
  <si>
    <r>
      <rPr>
        <sz val="11"/>
        <color theme="1"/>
        <rFont val="微軟正黑體"/>
        <family val="2"/>
        <charset val="136"/>
      </rPr>
      <t>去離子水</t>
    </r>
    <phoneticPr fontId="2" type="noConversion"/>
  </si>
  <si>
    <r>
      <t>GB-</t>
    </r>
    <r>
      <rPr>
        <sz val="11"/>
        <color theme="1"/>
        <rFont val="微軟正黑體"/>
        <family val="2"/>
        <charset val="136"/>
      </rPr>
      <t>中國藥典</t>
    </r>
    <phoneticPr fontId="2" type="noConversion"/>
  </si>
  <si>
    <r>
      <t xml:space="preserve">SC17-CHI732C </t>
    </r>
    <r>
      <rPr>
        <sz val="11"/>
        <color theme="1"/>
        <rFont val="微軟正黑體"/>
        <family val="2"/>
        <charset val="136"/>
      </rPr>
      <t>蔬果植物類、果醬和果凍食品中重金屬檢驗標準作業辦法</t>
    </r>
    <r>
      <rPr>
        <sz val="11"/>
        <color theme="1"/>
        <rFont val="Calibri"/>
        <family val="2"/>
      </rPr>
      <t>-</t>
    </r>
    <r>
      <rPr>
        <sz val="11"/>
        <color theme="1"/>
        <rFont val="微軟正黑體"/>
        <family val="2"/>
        <charset val="136"/>
      </rPr>
      <t>生鮮</t>
    </r>
    <r>
      <rPr>
        <sz val="11"/>
        <color theme="1"/>
        <rFont val="Calibri"/>
        <family val="2"/>
      </rPr>
      <t>(2 g_50 mL)</t>
    </r>
    <phoneticPr fontId="2" type="noConversion"/>
  </si>
  <si>
    <r>
      <t xml:space="preserve">SC17-CHI741C </t>
    </r>
    <r>
      <rPr>
        <sz val="11"/>
        <color theme="1"/>
        <rFont val="微軟正黑體"/>
        <family val="2"/>
        <charset val="136"/>
      </rPr>
      <t>嬰幼兒食品中重金屬檢驗標準作業辦法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粉狀</t>
    </r>
    <r>
      <rPr>
        <sz val="11"/>
        <color theme="1"/>
        <rFont val="Calibri"/>
        <family val="2"/>
      </rPr>
      <t>)_(0.5g_20mL)</t>
    </r>
    <phoneticPr fontId="2" type="noConversion"/>
  </si>
  <si>
    <r>
      <t xml:space="preserve">SC17-CHI741C </t>
    </r>
    <r>
      <rPr>
        <sz val="11"/>
        <color theme="1"/>
        <rFont val="微軟正黑體"/>
        <family val="2"/>
        <charset val="136"/>
      </rPr>
      <t>嬰幼兒食品中重金屬檢驗標準作業辦法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液體</t>
    </r>
    <r>
      <rPr>
        <sz val="11"/>
        <color theme="1"/>
        <rFont val="Calibri"/>
        <family val="2"/>
      </rPr>
      <t>)_(2g_20mL)</t>
    </r>
    <phoneticPr fontId="2" type="noConversion"/>
  </si>
  <si>
    <r>
      <t xml:space="preserve">SC17-CHI731C </t>
    </r>
    <r>
      <rPr>
        <sz val="10"/>
        <rFont val="微軟正黑體"/>
        <family val="2"/>
        <charset val="136"/>
      </rPr>
      <t>飲料及乳品中重金屬檢驗標準作業辦法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粉狀</t>
    </r>
    <r>
      <rPr>
        <sz val="10"/>
        <rFont val="Calibri"/>
        <family val="2"/>
      </rPr>
      <t>(0.5 g_50 mL)</t>
    </r>
    <phoneticPr fontId="2" type="noConversion"/>
  </si>
  <si>
    <r>
      <t xml:space="preserve">SC17-CHI731C </t>
    </r>
    <r>
      <rPr>
        <sz val="10"/>
        <rFont val="微軟正黑體"/>
        <family val="2"/>
        <charset val="136"/>
      </rPr>
      <t>飲料及乳品中重金屬檢驗標準作業辦法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液狀</t>
    </r>
    <r>
      <rPr>
        <sz val="10"/>
        <rFont val="Calibri"/>
        <family val="2"/>
      </rPr>
      <t>(2 g_50 mL)</t>
    </r>
    <phoneticPr fontId="2" type="noConversion"/>
  </si>
  <si>
    <r>
      <t xml:space="preserve">SC17-CHI732C </t>
    </r>
    <r>
      <rPr>
        <sz val="10"/>
        <rFont val="微軟正黑體"/>
        <family val="2"/>
        <charset val="136"/>
      </rPr>
      <t>蔬果植物類、果醬和果凍食品中重金屬檢驗標準作業辦法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生鮮</t>
    </r>
    <r>
      <rPr>
        <sz val="10"/>
        <rFont val="Calibri"/>
        <family val="2"/>
      </rPr>
      <t>(2 g_50 mL)</t>
    </r>
    <phoneticPr fontId="2" type="noConversion"/>
  </si>
  <si>
    <r>
      <t xml:space="preserve">SC17-CHI732C </t>
    </r>
    <r>
      <rPr>
        <sz val="10"/>
        <rFont val="微軟正黑體"/>
        <family val="2"/>
        <charset val="136"/>
      </rPr>
      <t>蔬果植物類、果醬和果凍食品中重金屬檢驗標準作業辦法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乾品</t>
    </r>
    <r>
      <rPr>
        <sz val="10"/>
        <rFont val="Calibri"/>
        <family val="2"/>
      </rPr>
      <t>(0.5 g_50 mL)</t>
    </r>
    <phoneticPr fontId="2" type="noConversion"/>
  </si>
  <si>
    <r>
      <t xml:space="preserve">SC17-CHI733C </t>
    </r>
    <r>
      <rPr>
        <sz val="10"/>
        <rFont val="微軟正黑體"/>
        <family val="2"/>
        <charset val="136"/>
      </rPr>
      <t>蛋類中重金屬檢驗標準作業辦法</t>
    </r>
    <r>
      <rPr>
        <sz val="10"/>
        <rFont val="Calibri"/>
        <family val="2"/>
      </rPr>
      <t>(0.5g_50mL)</t>
    </r>
    <phoneticPr fontId="2" type="noConversion"/>
  </si>
  <si>
    <r>
      <t xml:space="preserve">SC17-CHI734C </t>
    </r>
    <r>
      <rPr>
        <sz val="10"/>
        <rFont val="微軟正黑體"/>
        <family val="2"/>
        <charset val="136"/>
      </rPr>
      <t>罐頭中重金屬檢驗標準作業辦法</t>
    </r>
    <r>
      <rPr>
        <sz val="10"/>
        <rFont val="Calibri"/>
        <family val="2"/>
      </rPr>
      <t>-</t>
    </r>
    <r>
      <rPr>
        <sz val="10"/>
        <rFont val="微軟正黑體"/>
        <family val="2"/>
        <charset val="136"/>
      </rPr>
      <t>食品</t>
    </r>
    <r>
      <rPr>
        <sz val="10"/>
        <rFont val="Calibri"/>
        <family val="2"/>
      </rPr>
      <t>(0.5 g_50 mL)</t>
    </r>
    <phoneticPr fontId="2" type="noConversion"/>
  </si>
  <si>
    <r>
      <t xml:space="preserve">SC17-CHI735C </t>
    </r>
    <r>
      <rPr>
        <sz val="10"/>
        <rFont val="微軟正黑體"/>
        <family val="2"/>
        <charset val="136"/>
      </rPr>
      <t>穀類中重金屬檢驗標準作業辦法</t>
    </r>
    <r>
      <rPr>
        <sz val="10"/>
        <rFont val="Calibri"/>
        <family val="2"/>
      </rPr>
      <t>(0.5 g_50 mL)</t>
    </r>
    <phoneticPr fontId="2" type="noConversion"/>
  </si>
  <si>
    <r>
      <t xml:space="preserve">SC17-CHI737C </t>
    </r>
    <r>
      <rPr>
        <sz val="10"/>
        <rFont val="微軟正黑體"/>
        <family val="2"/>
        <charset val="136"/>
      </rPr>
      <t>食用洗潔劑砷之檢驗標準作業辦法</t>
    </r>
    <r>
      <rPr>
        <sz val="10"/>
        <rFont val="Calibri"/>
        <family val="2"/>
      </rPr>
      <t>(1.2 g_20 mL)</t>
    </r>
    <phoneticPr fontId="2" type="noConversion"/>
  </si>
  <si>
    <r>
      <t xml:space="preserve">SC17-CHI739C </t>
    </r>
    <r>
      <rPr>
        <sz val="10"/>
        <rFont val="微軟正黑體"/>
        <family val="2"/>
        <charset val="136"/>
      </rPr>
      <t>水產動物類、禽畜產品類及蜂蜜中重金屬檢驗標準作業辦法</t>
    </r>
    <r>
      <rPr>
        <sz val="10"/>
        <rFont val="Calibri"/>
        <family val="2"/>
      </rPr>
      <t xml:space="preserve"> - </t>
    </r>
    <r>
      <rPr>
        <sz val="10"/>
        <rFont val="微軟正黑體"/>
        <family val="2"/>
        <charset val="136"/>
      </rPr>
      <t>水產</t>
    </r>
    <r>
      <rPr>
        <sz val="10"/>
        <rFont val="Calibri"/>
        <family val="2"/>
      </rPr>
      <t>(0.5 g_50mL)</t>
    </r>
    <phoneticPr fontId="2" type="noConversion"/>
  </si>
  <si>
    <r>
      <t xml:space="preserve">SC17-CHI739C </t>
    </r>
    <r>
      <rPr>
        <sz val="10"/>
        <rFont val="微軟正黑體"/>
        <family val="2"/>
        <charset val="136"/>
      </rPr>
      <t>水產動物類、禽畜產品類及蜂蜜中重金屬檢驗標準作業辦法</t>
    </r>
    <r>
      <rPr>
        <sz val="10"/>
        <rFont val="Calibri"/>
        <family val="2"/>
      </rPr>
      <t xml:space="preserve"> - </t>
    </r>
    <r>
      <rPr>
        <sz val="10"/>
        <rFont val="微軟正黑體"/>
        <family val="2"/>
        <charset val="136"/>
      </rPr>
      <t>禽畜</t>
    </r>
    <r>
      <rPr>
        <sz val="10"/>
        <rFont val="Calibri"/>
        <family val="2"/>
      </rPr>
      <t>(0.5 g_50mL)</t>
    </r>
    <phoneticPr fontId="2" type="noConversion"/>
  </si>
  <si>
    <r>
      <t xml:space="preserve">SC17-CHI739C </t>
    </r>
    <r>
      <rPr>
        <sz val="10"/>
        <rFont val="微軟正黑體"/>
        <family val="2"/>
        <charset val="136"/>
      </rPr>
      <t>水產動物類、禽畜產品類及蜂蜜中重金屬檢驗標準作業辦法</t>
    </r>
    <r>
      <rPr>
        <sz val="10"/>
        <rFont val="Calibri"/>
        <family val="2"/>
      </rPr>
      <t xml:space="preserve"> - </t>
    </r>
    <r>
      <rPr>
        <sz val="10"/>
        <rFont val="微軟正黑體"/>
        <family val="2"/>
        <charset val="136"/>
      </rPr>
      <t>蜂蜜</t>
    </r>
    <r>
      <rPr>
        <sz val="10"/>
        <rFont val="Calibri"/>
        <family val="2"/>
      </rPr>
      <t>(0.5 g_50mL)</t>
    </r>
    <phoneticPr fontId="2" type="noConversion"/>
  </si>
  <si>
    <r>
      <t xml:space="preserve">SC17-CHI740C </t>
    </r>
    <r>
      <rPr>
        <sz val="10"/>
        <rFont val="微軟正黑體"/>
        <family val="2"/>
        <charset val="136"/>
      </rPr>
      <t>食用油脂及奶油中重金屬含量測試標準作業辦法</t>
    </r>
    <r>
      <rPr>
        <sz val="10"/>
        <rFont val="Calibri"/>
        <family val="2"/>
      </rPr>
      <t>(0.4 g_50mL)</t>
    </r>
    <phoneticPr fontId="2" type="noConversion"/>
  </si>
  <si>
    <r>
      <t xml:space="preserve">SC17-CHI741C </t>
    </r>
    <r>
      <rPr>
        <sz val="10"/>
        <rFont val="微軟正黑體"/>
        <family val="2"/>
        <charset val="136"/>
      </rPr>
      <t>嬰幼兒食品中重金屬檢驗標準作業辦法</t>
    </r>
    <r>
      <rPr>
        <sz val="10"/>
        <rFont val="Calibri"/>
        <family val="2"/>
      </rPr>
      <t>(</t>
    </r>
    <r>
      <rPr>
        <sz val="10"/>
        <rFont val="微軟正黑體"/>
        <family val="2"/>
        <charset val="136"/>
      </rPr>
      <t>粉狀</t>
    </r>
    <r>
      <rPr>
        <sz val="10"/>
        <rFont val="Calibri"/>
        <family val="2"/>
      </rPr>
      <t>)_(0.5g_20mL)</t>
    </r>
    <phoneticPr fontId="2" type="noConversion"/>
  </si>
  <si>
    <r>
      <t xml:space="preserve">SC17-CHI741C </t>
    </r>
    <r>
      <rPr>
        <sz val="10"/>
        <rFont val="微軟正黑體"/>
        <family val="2"/>
        <charset val="136"/>
      </rPr>
      <t>嬰幼兒食品中重金屬檢驗標準作業辦法</t>
    </r>
    <r>
      <rPr>
        <sz val="10"/>
        <rFont val="Calibri"/>
        <family val="2"/>
      </rPr>
      <t>(</t>
    </r>
    <r>
      <rPr>
        <sz val="10"/>
        <rFont val="微軟正黑體"/>
        <family val="2"/>
        <charset val="136"/>
      </rPr>
      <t>液體</t>
    </r>
    <r>
      <rPr>
        <sz val="10"/>
        <rFont val="Calibri"/>
        <family val="2"/>
      </rPr>
      <t>)_(2g_20mL)</t>
    </r>
    <phoneticPr fontId="2" type="noConversion"/>
  </si>
  <si>
    <t>RPD初始管制範圍</t>
    <phoneticPr fontId="2" type="noConversion"/>
  </si>
  <si>
    <t>樣品基質</t>
    <phoneticPr fontId="83" type="noConversion"/>
  </si>
  <si>
    <t>元素</t>
    <phoneticPr fontId="83" type="noConversion"/>
  </si>
  <si>
    <r>
      <t>樣品檢驗值</t>
    </r>
    <r>
      <rPr>
        <b/>
        <sz val="10"/>
        <color rgb="FF0000FF"/>
        <rFont val="微軟正黑體"/>
        <family val="2"/>
        <charset val="136"/>
      </rPr>
      <t xml:space="preserve"> (mg/kg)</t>
    </r>
    <phoneticPr fontId="83" type="noConversion"/>
  </si>
  <si>
    <r>
      <t xml:space="preserve">重複樣品 </t>
    </r>
    <r>
      <rPr>
        <b/>
        <sz val="10"/>
        <color rgb="FF0000FF"/>
        <rFont val="微軟正黑體"/>
        <family val="2"/>
        <charset val="136"/>
      </rPr>
      <t>(mg/kg)</t>
    </r>
    <phoneticPr fontId="83" type="noConversion"/>
  </si>
  <si>
    <t>分析人員：</t>
    <phoneticPr fontId="31" type="noConversion"/>
  </si>
  <si>
    <t>審核人員：</t>
    <phoneticPr fontId="31" type="noConversion"/>
  </si>
  <si>
    <t>納入
品管圖</t>
    <phoneticPr fontId="2" type="noConversion"/>
  </si>
  <si>
    <t>RPD
(%)</t>
    <phoneticPr fontId="2" type="noConversion"/>
  </si>
  <si>
    <t>--</t>
    <phoneticPr fontId="2" type="noConversion"/>
  </si>
  <si>
    <t>CH356</t>
    <phoneticPr fontId="14" type="noConversion"/>
  </si>
  <si>
    <t>CH1063</t>
    <phoneticPr fontId="14" type="noConversion"/>
  </si>
  <si>
    <t>ME</t>
    <phoneticPr fontId="2" type="noConversion"/>
  </si>
  <si>
    <t>現行管制圖 RPD 範圍</t>
    <phoneticPr fontId="2" type="noConversion"/>
  </si>
  <si>
    <r>
      <t>RPD</t>
    </r>
    <r>
      <rPr>
        <sz val="10"/>
        <rFont val="微軟正黑體"/>
        <family val="2"/>
        <charset val="136"/>
      </rPr>
      <t>初始管制範圍</t>
    </r>
    <phoneticPr fontId="2" type="noConversion"/>
  </si>
  <si>
    <t>樣品濃度 RPD</t>
    <phoneticPr fontId="2" type="noConversion"/>
  </si>
  <si>
    <t>AD</t>
    <phoneticPr fontId="2" type="noConversion"/>
  </si>
  <si>
    <t>Fe 56</t>
    <phoneticPr fontId="2" type="noConversion"/>
  </si>
  <si>
    <t>Mo  96</t>
    <phoneticPr fontId="2" type="noConversion"/>
  </si>
  <si>
    <t>LOQ</t>
    <phoneticPr fontId="2" type="noConversion"/>
  </si>
  <si>
    <t>--</t>
    <phoneticPr fontId="2" type="noConversion"/>
  </si>
  <si>
    <t>g</t>
    <phoneticPr fontId="2" type="noConversion"/>
  </si>
  <si>
    <t>mL</t>
    <phoneticPr fontId="2" type="noConversion"/>
  </si>
  <si>
    <t>AD定量體積</t>
    <phoneticPr fontId="2" type="noConversion"/>
  </si>
  <si>
    <t>取樣量</t>
    <phoneticPr fontId="2" type="noConversion"/>
  </si>
  <si>
    <t>使用儀器</t>
    <phoneticPr fontId="2" type="noConversion"/>
  </si>
  <si>
    <t>iPrep</t>
    <phoneticPr fontId="2" type="noConversion"/>
  </si>
  <si>
    <t>W1</t>
    <phoneticPr fontId="2" type="noConversion"/>
  </si>
  <si>
    <t>T1</t>
    <phoneticPr fontId="2" type="noConversion"/>
  </si>
  <si>
    <t>T2</t>
    <phoneticPr fontId="2" type="noConversion"/>
  </si>
  <si>
    <t>W2</t>
    <phoneticPr fontId="2" type="noConversion"/>
  </si>
  <si>
    <t>Method</t>
    <phoneticPr fontId="2" type="noConversion"/>
  </si>
  <si>
    <t>MW1</t>
  </si>
  <si>
    <t>MW1</t>
    <phoneticPr fontId="2" type="noConversion"/>
  </si>
  <si>
    <t>MW3</t>
  </si>
  <si>
    <t>MW4</t>
  </si>
  <si>
    <t>HP</t>
    <phoneticPr fontId="2" type="noConversion"/>
  </si>
  <si>
    <t>--</t>
    <phoneticPr fontId="2" type="noConversion"/>
  </si>
  <si>
    <t>MW2</t>
    <phoneticPr fontId="2" type="noConversion"/>
  </si>
  <si>
    <t>HP1</t>
    <phoneticPr fontId="2" type="noConversion"/>
  </si>
  <si>
    <t>HP2</t>
    <phoneticPr fontId="2" type="noConversion"/>
  </si>
  <si>
    <t>HT1</t>
    <phoneticPr fontId="2" type="noConversion"/>
  </si>
  <si>
    <t>RT1</t>
    <phoneticPr fontId="2" type="noConversion"/>
  </si>
  <si>
    <t>RT2</t>
    <phoneticPr fontId="2" type="noConversion"/>
  </si>
  <si>
    <t>HT2</t>
    <phoneticPr fontId="2" type="noConversion"/>
  </si>
  <si>
    <t>MW5</t>
    <phoneticPr fontId="2" type="noConversion"/>
  </si>
  <si>
    <t>消化參數</t>
    <phoneticPr fontId="2" type="noConversion"/>
  </si>
  <si>
    <t>g</t>
    <phoneticPr fontId="2" type="noConversion"/>
  </si>
  <si>
    <t>ASH</t>
    <phoneticPr fontId="2" type="noConversion"/>
  </si>
  <si>
    <t>Be 9</t>
    <phoneticPr fontId="2" type="noConversion"/>
  </si>
  <si>
    <r>
      <t>*</t>
    </r>
    <r>
      <rPr>
        <sz val="9"/>
        <color rgb="FFFFFFFF"/>
        <rFont val="微軟正黑體"/>
        <family val="2"/>
        <charset val="136"/>
      </rPr>
      <t>鈹</t>
    </r>
    <r>
      <rPr>
        <sz val="9"/>
        <color rgb="FFFFFFFF"/>
        <rFont val="Calibri"/>
        <family val="2"/>
      </rPr>
      <t>*</t>
    </r>
    <phoneticPr fontId="2" type="noConversion"/>
  </si>
  <si>
    <r>
      <t>*</t>
    </r>
    <r>
      <rPr>
        <sz val="9"/>
        <color rgb="FFFFFFFF"/>
        <rFont val="微軟正黑體"/>
        <family val="2"/>
        <charset val="136"/>
      </rPr>
      <t>鉍</t>
    </r>
    <r>
      <rPr>
        <sz val="9"/>
        <color rgb="FFFFFFFF"/>
        <rFont val="Calibri"/>
        <family val="2"/>
      </rPr>
      <t>*</t>
    </r>
    <phoneticPr fontId="2" type="noConversion"/>
  </si>
  <si>
    <t>Tl 205</t>
    <phoneticPr fontId="2" type="noConversion"/>
  </si>
  <si>
    <r>
      <t>*</t>
    </r>
    <r>
      <rPr>
        <sz val="9"/>
        <color rgb="FFFFFFFF"/>
        <rFont val="微軟正黑體"/>
        <family val="2"/>
        <charset val="136"/>
      </rPr>
      <t>鉈</t>
    </r>
    <r>
      <rPr>
        <sz val="9"/>
        <color rgb="FFFFFFFF"/>
        <rFont val="Calibri"/>
        <family val="2"/>
      </rPr>
      <t>*</t>
    </r>
    <phoneticPr fontId="2" type="noConversion"/>
  </si>
  <si>
    <t>Nd 146</t>
    <phoneticPr fontId="2" type="noConversion"/>
  </si>
  <si>
    <r>
      <t>*</t>
    </r>
    <r>
      <rPr>
        <sz val="9"/>
        <color rgb="FFFFFFFF"/>
        <rFont val="微軟正黑體"/>
        <family val="2"/>
        <charset val="136"/>
      </rPr>
      <t>釹</t>
    </r>
    <r>
      <rPr>
        <sz val="9"/>
        <color rgb="FFFFFFFF"/>
        <rFont val="Calibri"/>
        <family val="2"/>
      </rPr>
      <t>*</t>
    </r>
    <phoneticPr fontId="2" type="noConversion"/>
  </si>
  <si>
    <t>Te 130</t>
    <phoneticPr fontId="2" type="noConversion"/>
  </si>
  <si>
    <r>
      <t>*</t>
    </r>
    <r>
      <rPr>
        <sz val="9"/>
        <color rgb="FFFFFFFF"/>
        <rFont val="微軟正黑體"/>
        <family val="2"/>
        <charset val="136"/>
      </rPr>
      <t>碲</t>
    </r>
    <r>
      <rPr>
        <sz val="9"/>
        <color rgb="FFFFFFFF"/>
        <rFont val="Calibri"/>
        <family val="2"/>
      </rPr>
      <t>*</t>
    </r>
    <phoneticPr fontId="2" type="noConversion"/>
  </si>
  <si>
    <t>Co</t>
  </si>
  <si>
    <t>Sr</t>
  </si>
  <si>
    <t>Zr</t>
  </si>
  <si>
    <t>Ba</t>
  </si>
  <si>
    <t>Be</t>
    <phoneticPr fontId="2" type="noConversion"/>
  </si>
  <si>
    <t>Te</t>
    <phoneticPr fontId="2" type="noConversion"/>
  </si>
  <si>
    <t>Nd</t>
    <phoneticPr fontId="2" type="noConversion"/>
  </si>
  <si>
    <t>Tl</t>
    <phoneticPr fontId="2" type="noConversion"/>
  </si>
  <si>
    <t>Bi</t>
    <phoneticPr fontId="2" type="noConversion"/>
  </si>
  <si>
    <t>Nd 146</t>
    <phoneticPr fontId="2" type="noConversion"/>
  </si>
  <si>
    <t>Tl 205</t>
    <phoneticPr fontId="2" type="noConversion"/>
  </si>
  <si>
    <t>Be 9</t>
    <phoneticPr fontId="2" type="noConversion"/>
  </si>
  <si>
    <t>Te 130</t>
    <phoneticPr fontId="2" type="noConversion"/>
  </si>
  <si>
    <r>
      <rPr>
        <sz val="11"/>
        <color theme="1"/>
        <rFont val="微軟正黑體"/>
        <family val="2"/>
        <charset val="136"/>
      </rPr>
      <t>取樣量</t>
    </r>
    <phoneticPr fontId="2" type="noConversion"/>
  </si>
  <si>
    <r>
      <rPr>
        <sz val="11"/>
        <color theme="1"/>
        <rFont val="微軟正黑體"/>
        <family val="2"/>
        <charset val="136"/>
      </rPr>
      <t>取樣單位</t>
    </r>
    <phoneticPr fontId="2" type="noConversion"/>
  </si>
  <si>
    <r>
      <rPr>
        <sz val="11"/>
        <color theme="1"/>
        <rFont val="微軟正黑體"/>
        <family val="2"/>
        <charset val="136"/>
      </rPr>
      <t>消化參數</t>
    </r>
    <phoneticPr fontId="2" type="noConversion"/>
  </si>
  <si>
    <r>
      <t xml:space="preserve">SC17-CHI738C </t>
    </r>
    <r>
      <rPr>
        <sz val="11"/>
        <color theme="1"/>
        <rFont val="微軟正黑體"/>
        <family val="2"/>
        <charset val="136"/>
      </rPr>
      <t>食品器具、容器、包裝之金屬合金、鍍錫用錫、製造修補用焊料檢驗標準作業辦法</t>
    </r>
    <r>
      <rPr>
        <sz val="11"/>
        <color theme="1"/>
        <rFont val="Calibri"/>
        <family val="2"/>
      </rPr>
      <t xml:space="preserve"> (0.25 g_50 mL)</t>
    </r>
    <phoneticPr fontId="2" type="noConversion"/>
  </si>
  <si>
    <r>
      <t xml:space="preserve">SC17-CHI746C </t>
    </r>
    <r>
      <rPr>
        <sz val="11"/>
        <color theme="1"/>
        <rFont val="微軟正黑體"/>
        <family val="2"/>
        <charset val="136"/>
      </rPr>
      <t>食品添加物元素檢驗</t>
    </r>
    <r>
      <rPr>
        <sz val="11"/>
        <color theme="1"/>
        <rFont val="Calibri"/>
        <family val="2"/>
      </rPr>
      <t>(</t>
    </r>
    <r>
      <rPr>
        <sz val="11"/>
        <color theme="1"/>
        <rFont val="微軟正黑體"/>
        <family val="2"/>
        <charset val="136"/>
      </rPr>
      <t>總則</t>
    </r>
    <r>
      <rPr>
        <sz val="11"/>
        <color theme="1"/>
        <rFont val="Calibri"/>
        <family val="2"/>
      </rPr>
      <t>)</t>
    </r>
    <r>
      <rPr>
        <sz val="11"/>
        <color theme="1"/>
        <rFont val="微軟正黑體"/>
        <family val="2"/>
        <charset val="136"/>
      </rPr>
      <t>標準作業辦法</t>
    </r>
    <phoneticPr fontId="2" type="noConversion"/>
  </si>
  <si>
    <t>YYYY/MM/DD</t>
    <phoneticPr fontId="2" type="noConversion"/>
  </si>
  <si>
    <t>CH225</t>
    <phoneticPr fontId="2" type="noConversion"/>
  </si>
  <si>
    <t>邊境(KEY"V")</t>
    <phoneticPr fontId="2" type="noConversion"/>
  </si>
  <si>
    <t>--</t>
    <phoneticPr fontId="2" type="noConversion"/>
  </si>
  <si>
    <t>CH944</t>
    <phoneticPr fontId="2" type="noConversion"/>
  </si>
  <si>
    <t>CH946</t>
    <phoneticPr fontId="2" type="noConversion"/>
  </si>
  <si>
    <t>CH870</t>
    <phoneticPr fontId="2" type="noConversion"/>
  </si>
  <si>
    <t>--</t>
    <phoneticPr fontId="2" type="noConversion"/>
  </si>
  <si>
    <t>CH1091</t>
    <phoneticPr fontId="2" type="noConversion"/>
  </si>
  <si>
    <t>CH633</t>
    <phoneticPr fontId="2" type="noConversion"/>
  </si>
  <si>
    <t>CH</t>
    <phoneticPr fontId="2" type="noConversion"/>
  </si>
  <si>
    <r>
      <t xml:space="preserve">SC17-CHI740C </t>
    </r>
    <r>
      <rPr>
        <sz val="11"/>
        <color theme="1"/>
        <rFont val="微軟正黑體"/>
        <family val="2"/>
        <charset val="136"/>
      </rPr>
      <t>食用油脂、奶油、巧克力及可可粉中重金屬測試-油脂、奶油</t>
    </r>
    <r>
      <rPr>
        <sz val="11"/>
        <color theme="1"/>
        <rFont val="Calibri"/>
        <family val="2"/>
      </rPr>
      <t xml:space="preserve"> (0.4 g_50mL)</t>
    </r>
    <phoneticPr fontId="2" type="noConversion"/>
  </si>
  <si>
    <r>
      <t xml:space="preserve">SC17-CHI740C </t>
    </r>
    <r>
      <rPr>
        <sz val="11"/>
        <color theme="1"/>
        <rFont val="微軟正黑體"/>
        <family val="2"/>
        <charset val="136"/>
      </rPr>
      <t>食用油脂、奶油、巧克力及可可粉中重金屬測試-巧克力、可可粉</t>
    </r>
    <r>
      <rPr>
        <sz val="11"/>
        <color theme="1"/>
        <rFont val="Calibri"/>
        <family val="2"/>
      </rPr>
      <t xml:space="preserve"> (0.5 g_50mL)</t>
    </r>
    <phoneticPr fontId="2" type="noConversion"/>
  </si>
  <si>
    <t>H46-L-</t>
    <phoneticPr fontId="2" type="noConversion"/>
  </si>
  <si>
    <t>F-2501 玉米澱粉</t>
  </si>
  <si>
    <t>空白檢液</t>
    <phoneticPr fontId="2" type="noConversion"/>
  </si>
  <si>
    <t>樣品重量(M)：</t>
    <phoneticPr fontId="2" type="noConversion"/>
  </si>
  <si>
    <r>
      <t>F.R. (mg/kg) = (C - C</t>
    </r>
    <r>
      <rPr>
        <vertAlign val="subscript"/>
        <sz val="10"/>
        <rFont val="Calibri"/>
        <family val="2"/>
      </rPr>
      <t>0</t>
    </r>
    <r>
      <rPr>
        <sz val="10"/>
        <rFont val="Calibri"/>
        <family val="2"/>
      </rPr>
      <t xml:space="preserve"> ) × V × F / M / 1000</t>
    </r>
    <phoneticPr fontId="2" type="noConversion"/>
  </si>
  <si>
    <r>
      <t>備註</t>
    </r>
    <r>
      <rPr>
        <sz val="10"/>
        <rFont val="Calibri"/>
        <family val="2"/>
      </rPr>
      <t xml:space="preserve">: </t>
    </r>
    <r>
      <rPr>
        <vertAlign val="superscript"/>
        <sz val="10"/>
        <rFont val="Calibri"/>
        <family val="2"/>
      </rPr>
      <t>#</t>
    </r>
    <r>
      <rPr>
        <sz val="10"/>
        <rFont val="Calibri"/>
        <family val="2"/>
      </rPr>
      <t>:In house method(</t>
    </r>
    <r>
      <rPr>
        <sz val="10"/>
        <rFont val="微軟正黑體"/>
        <family val="2"/>
        <charset val="136"/>
      </rPr>
      <t>不在公告方法範圍之元素或測試方法微調</t>
    </r>
    <r>
      <rPr>
        <sz val="10"/>
        <rFont val="Calibri"/>
        <family val="2"/>
      </rPr>
      <t>)</t>
    </r>
    <phoneticPr fontId="14" type="noConversion"/>
  </si>
  <si>
    <t>CH520</t>
    <phoneticPr fontId="2" type="noConversion"/>
  </si>
  <si>
    <t>微波消化瓶組</t>
    <phoneticPr fontId="2" type="noConversion"/>
  </si>
  <si>
    <t>μL</t>
    <phoneticPr fontId="2" type="noConversion"/>
  </si>
  <si>
    <t>CH688</t>
    <phoneticPr fontId="2" type="noConversion"/>
  </si>
  <si>
    <t>SC17-CHI703C 食品中重金屬含量測試標準作業辦法(0.5 g_25 mL)</t>
  </si>
  <si>
    <t>H123-L-</t>
    <phoneticPr fontId="2" type="noConversion"/>
  </si>
  <si>
    <t>NC</t>
    <phoneticPr fontId="2" type="noConversion"/>
  </si>
  <si>
    <r>
      <t xml:space="preserve">SC17-CHI747C </t>
    </r>
    <r>
      <rPr>
        <sz val="11"/>
        <color theme="1"/>
        <rFont val="微軟正黑體"/>
        <family val="2"/>
        <charset val="136"/>
      </rPr>
      <t>天然食用色素重金屬檢驗</t>
    </r>
    <r>
      <rPr>
        <sz val="11"/>
        <color theme="1"/>
        <rFont val="Calibri"/>
        <family val="2"/>
      </rPr>
      <t xml:space="preserve"> (</t>
    </r>
    <r>
      <rPr>
        <sz val="11"/>
        <color theme="1"/>
        <rFont val="微軟正黑體"/>
        <family val="2"/>
        <charset val="136"/>
      </rPr>
      <t>總則</t>
    </r>
    <r>
      <rPr>
        <sz val="11"/>
        <color theme="1"/>
        <rFont val="Calibri"/>
        <family val="2"/>
      </rPr>
      <t xml:space="preserve">) </t>
    </r>
    <r>
      <rPr>
        <sz val="11"/>
        <color theme="1"/>
        <rFont val="微軟正黑體"/>
        <family val="2"/>
        <charset val="136"/>
      </rPr>
      <t>標準作業辦法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</si>
</sst>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yyyy\/mm\/dd"/>
    <numFmt numFmtId="177" formatCode="0.0000_ "/>
    <numFmt numFmtId="178" formatCode="0.000_ "/>
    <numFmt numFmtId="179" formatCode="0.000_);[Red]\(0.000\)"/>
    <numFmt numFmtId="180" formatCode="0_ "/>
    <numFmt numFmtId="181" formatCode="0_);[Red]\(0\)"/>
    <numFmt numFmtId="182" formatCode="0.0"/>
    <numFmt numFmtId="183" formatCode="0.0000_);[Red]\(0.0000\)"/>
    <numFmt numFmtId="184" formatCode="yyyy/m/d;@"/>
    <numFmt numFmtId="185" formatCode="0.000"/>
    <numFmt numFmtId="186" formatCode="0.00000_ "/>
    <numFmt numFmtId="187" formatCode="0.00_);[Red]\(0.00\)"/>
    <numFmt numFmtId="188" formatCode="0.00000_);[Red]\(0.00000\)"/>
    <numFmt numFmtId="189" formatCode="0.0_ "/>
  </numFmts>
  <fonts count="90" x14ac:knownFonts="1">
    <font>
      <sz val="11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Calibri"/>
      <family val="2"/>
    </font>
    <font>
      <u/>
      <sz val="12"/>
      <color theme="1"/>
      <name val="Calibri"/>
      <family val="2"/>
    </font>
    <font>
      <b/>
      <sz val="16"/>
      <color theme="1"/>
      <name val="Calibri"/>
      <family val="2"/>
    </font>
    <font>
      <sz val="10"/>
      <color rgb="FF666666"/>
      <name val="Calibri"/>
      <family val="2"/>
    </font>
    <font>
      <sz val="12"/>
      <name val="新細明體"/>
      <family val="1"/>
      <charset val="136"/>
    </font>
    <font>
      <b/>
      <sz val="9"/>
      <color rgb="FFFFFFFF"/>
      <name val="Calibri"/>
      <family val="2"/>
    </font>
    <font>
      <sz val="10"/>
      <name val="微軟正黑體"/>
      <family val="2"/>
      <charset val="136"/>
    </font>
    <font>
      <sz val="10"/>
      <name val="Calibri"/>
      <family val="2"/>
    </font>
    <font>
      <b/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u/>
      <sz val="10"/>
      <name val="Calibri"/>
      <family val="2"/>
    </font>
    <font>
      <b/>
      <sz val="10"/>
      <name val="Calibri"/>
      <family val="2"/>
    </font>
    <font>
      <b/>
      <sz val="10"/>
      <name val="微軟正黑體"/>
      <family val="2"/>
      <charset val="136"/>
    </font>
    <font>
      <vertAlign val="superscript"/>
      <sz val="10"/>
      <name val="Calibri"/>
      <family val="2"/>
    </font>
    <font>
      <b/>
      <sz val="10"/>
      <color rgb="FF0000FF"/>
      <name val="Calibri"/>
      <family val="2"/>
    </font>
    <font>
      <sz val="9"/>
      <name val="Calibri"/>
      <family val="2"/>
    </font>
    <font>
      <sz val="9.5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b/>
      <sz val="12"/>
      <color theme="1"/>
      <name val="微軟正黑體"/>
      <family val="2"/>
      <charset val="136"/>
    </font>
    <font>
      <b/>
      <sz val="12"/>
      <color theme="1"/>
      <name val="細明體"/>
      <family val="3"/>
      <charset val="136"/>
    </font>
    <font>
      <b/>
      <u/>
      <sz val="16"/>
      <name val="Calibri"/>
      <family val="2"/>
    </font>
    <font>
      <sz val="11"/>
      <name val="微軟正黑體"/>
      <family val="2"/>
      <charset val="136"/>
    </font>
    <font>
      <b/>
      <sz val="10"/>
      <color rgb="FF0000FF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1"/>
      <color theme="1"/>
      <name val="細明體"/>
      <family val="3"/>
      <charset val="136"/>
    </font>
    <font>
      <u/>
      <sz val="11"/>
      <color theme="10"/>
      <name val="新細明體"/>
      <family val="2"/>
      <charset val="136"/>
      <scheme val="minor"/>
    </font>
    <font>
      <b/>
      <sz val="12"/>
      <name val="微軟正黑體"/>
      <family val="2"/>
      <charset val="136"/>
    </font>
    <font>
      <sz val="10"/>
      <name val="細明體"/>
      <family val="3"/>
      <charset val="136"/>
    </font>
    <font>
      <sz val="9"/>
      <color rgb="FFFFFFFF"/>
      <name val="Calibri"/>
      <family val="2"/>
    </font>
    <font>
      <u/>
      <sz val="11"/>
      <color theme="10"/>
      <name val="Calibri"/>
      <family val="2"/>
    </font>
    <font>
      <b/>
      <sz val="12"/>
      <color rgb="FF0000FF"/>
      <name val="新細明體"/>
      <family val="1"/>
      <charset val="136"/>
      <scheme val="minor"/>
    </font>
    <font>
      <sz val="12"/>
      <name val="細明體"/>
      <family val="3"/>
      <charset val="136"/>
    </font>
    <font>
      <sz val="12"/>
      <name val="Calibri"/>
      <family val="2"/>
    </font>
    <font>
      <vertAlign val="subscript"/>
      <sz val="10"/>
      <name val="Calibri"/>
      <family val="2"/>
    </font>
    <font>
      <sz val="9"/>
      <color rgb="FFFFFFFF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9"/>
      <color rgb="FF000000"/>
      <name val="Microsoft Sans Serif"/>
      <family val="2"/>
    </font>
    <font>
      <sz val="9"/>
      <name val="Microsoft Sans Serif"/>
      <family val="2"/>
    </font>
    <font>
      <b/>
      <sz val="9"/>
      <color rgb="FFFFFFFF"/>
      <name val="細明體"/>
      <family val="3"/>
      <charset val="136"/>
    </font>
    <font>
      <sz val="10"/>
      <name val="Arial"/>
      <family val="2"/>
    </font>
    <font>
      <sz val="11"/>
      <name val="細明體"/>
      <family val="3"/>
      <charset val="136"/>
    </font>
    <font>
      <sz val="10"/>
      <color theme="1"/>
      <name val="Calibri"/>
      <family val="2"/>
    </font>
    <font>
      <sz val="10"/>
      <color theme="1"/>
      <name val="微軟正黑體"/>
      <family val="2"/>
      <charset val="136"/>
    </font>
    <font>
      <sz val="12"/>
      <color theme="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1"/>
      <charset val="136"/>
    </font>
    <font>
      <b/>
      <sz val="10"/>
      <name val="Arial"/>
      <family val="2"/>
    </font>
    <font>
      <b/>
      <sz val="10"/>
      <name val="細明體"/>
      <family val="3"/>
      <charset val="136"/>
    </font>
    <font>
      <sz val="12"/>
      <name val="Arial"/>
      <family val="2"/>
    </font>
    <font>
      <b/>
      <sz val="11"/>
      <name val="微軟正黑體"/>
      <family val="2"/>
      <charset val="136"/>
    </font>
    <font>
      <b/>
      <sz val="11"/>
      <name val="Calibri"/>
      <family val="2"/>
    </font>
    <font>
      <sz val="15"/>
      <name val="Calibri"/>
      <family val="2"/>
    </font>
    <font>
      <b/>
      <sz val="15"/>
      <name val="微軟正黑體"/>
      <family val="2"/>
      <charset val="136"/>
    </font>
    <font>
      <sz val="10"/>
      <color rgb="FFFF0000"/>
      <name val="Calibri"/>
      <family val="2"/>
    </font>
    <font>
      <b/>
      <sz val="12"/>
      <color rgb="FF0000FF"/>
      <name val="Calibri"/>
      <family val="2"/>
    </font>
    <font>
      <b/>
      <sz val="16"/>
      <name val="Calibri"/>
      <family val="2"/>
    </font>
    <font>
      <b/>
      <sz val="16"/>
      <name val="Calibri"/>
      <family val="2"/>
      <charset val="136"/>
    </font>
    <font>
      <b/>
      <sz val="16"/>
      <name val="微軟正黑體"/>
      <family val="2"/>
      <charset val="136"/>
    </font>
    <font>
      <sz val="10"/>
      <color theme="1"/>
      <name val="細明體"/>
      <family val="2"/>
      <charset val="136"/>
    </font>
    <font>
      <sz val="10"/>
      <color theme="1"/>
      <name val="Calibri"/>
      <family val="2"/>
      <charset val="136"/>
    </font>
    <font>
      <b/>
      <sz val="10"/>
      <color rgb="FF0000FF"/>
      <name val="Calibri"/>
      <family val="2"/>
      <charset val="136"/>
    </font>
    <font>
      <b/>
      <sz val="10"/>
      <color rgb="FF0000FF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12"/>
      <name val="Calibri"/>
      <family val="2"/>
    </font>
    <font>
      <sz val="12"/>
      <color theme="1"/>
      <name val="Microsoft JhengHei Light"/>
      <family val="2"/>
      <charset val="136"/>
    </font>
    <font>
      <sz val="11"/>
      <color theme="1"/>
      <name val="Microsoft JhengHei Light"/>
      <family val="2"/>
      <charset val="136"/>
    </font>
    <font>
      <sz val="12"/>
      <name val="Microsoft JhengHei Light"/>
      <family val="2"/>
      <charset val="136"/>
    </font>
    <font>
      <sz val="11"/>
      <color theme="1"/>
      <name val="新細明體"/>
      <family val="2"/>
      <charset val="136"/>
      <scheme val="minor"/>
    </font>
    <font>
      <b/>
      <sz val="12"/>
      <color rgb="FF0000FF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2"/>
      <name val="微軟正黑體"/>
      <family val="1"/>
      <charset val="2"/>
    </font>
    <font>
      <sz val="9"/>
      <name val="新細明體"/>
      <family val="1"/>
      <charset val="136"/>
      <scheme val="minor"/>
    </font>
    <font>
      <b/>
      <sz val="20"/>
      <color rgb="FF0000FF"/>
      <name val="Calibri"/>
      <family val="2"/>
    </font>
    <font>
      <sz val="9"/>
      <name val="細明體"/>
      <family val="3"/>
      <charset val="136"/>
    </font>
    <font>
      <sz val="8"/>
      <color theme="0" tint="-0.14999847407452621"/>
      <name val="微軟正黑體"/>
      <family val="2"/>
      <charset val="136"/>
    </font>
    <font>
      <sz val="11"/>
      <color theme="0" tint="-0.14999847407452621"/>
      <name val="Calibri"/>
      <family val="2"/>
    </font>
    <font>
      <sz val="11"/>
      <color theme="0" tint="-0.14999847407452621"/>
      <name val="微軟正黑體"/>
      <family val="2"/>
      <charset val="136"/>
    </font>
    <font>
      <sz val="9"/>
      <color rgb="FFFFFFFF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sz val="10"/>
      <name val="Calibri"/>
      <family val="2"/>
      <charset val="136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0C0E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9" fillId="0" borderId="0"/>
    <xf numFmtId="0" fontId="11" fillId="0" borderId="0"/>
    <xf numFmtId="0" fontId="35" fillId="0" borderId="0" applyNumberFormat="0" applyFill="0" applyBorder="0" applyAlignment="0" applyProtection="0">
      <alignment vertical="center"/>
    </xf>
    <xf numFmtId="0" fontId="45" fillId="0" borderId="0">
      <alignment vertical="center"/>
    </xf>
    <xf numFmtId="0" fontId="49" fillId="0" borderId="0"/>
    <xf numFmtId="9" fontId="45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</cellStyleXfs>
  <cellXfs count="652">
    <xf numFmtId="0" fontId="0" fillId="0" borderId="0" xfId="0">
      <alignment vertical="center"/>
    </xf>
    <xf numFmtId="0" fontId="12" fillId="5" borderId="0" xfId="2" applyFont="1" applyFill="1" applyAlignment="1">
      <alignment vertical="center"/>
    </xf>
    <xf numFmtId="0" fontId="16" fillId="5" borderId="0" xfId="2" applyFont="1" applyFill="1" applyAlignment="1">
      <alignment vertical="center"/>
    </xf>
    <xf numFmtId="0" fontId="12" fillId="5" borderId="0" xfId="2" applyFont="1" applyFill="1" applyAlignment="1">
      <alignment horizontal="center" vertical="center"/>
    </xf>
    <xf numFmtId="0" fontId="12" fillId="5" borderId="0" xfId="2" applyFont="1" applyFill="1" applyAlignment="1">
      <alignment horizontal="left" vertical="center"/>
    </xf>
    <xf numFmtId="0" fontId="20" fillId="5" borderId="0" xfId="2" applyFont="1" applyFill="1" applyAlignment="1">
      <alignment horizontal="left" vertical="center"/>
    </xf>
    <xf numFmtId="0" fontId="20" fillId="5" borderId="0" xfId="2" applyFont="1" applyFill="1" applyAlignment="1">
      <alignment vertical="center"/>
    </xf>
    <xf numFmtId="0" fontId="12" fillId="5" borderId="0" xfId="2" applyFont="1" applyFill="1" applyAlignment="1">
      <alignment vertical="top"/>
    </xf>
    <xf numFmtId="0" fontId="12" fillId="2" borderId="0" xfId="2" applyFont="1" applyFill="1" applyAlignment="1">
      <alignment vertical="center"/>
    </xf>
    <xf numFmtId="0" fontId="15" fillId="2" borderId="0" xfId="2" applyFont="1" applyFill="1" applyAlignment="1">
      <alignment vertical="center"/>
    </xf>
    <xf numFmtId="0" fontId="12" fillId="2" borderId="0" xfId="2" applyFont="1" applyFill="1" applyAlignment="1">
      <alignment vertical="center" wrapText="1"/>
    </xf>
    <xf numFmtId="0" fontId="21" fillId="5" borderId="0" xfId="2" applyFont="1" applyFill="1" applyAlignment="1">
      <alignment vertical="center" wrapText="1"/>
    </xf>
    <xf numFmtId="0" fontId="20" fillId="5" borderId="0" xfId="2" applyFont="1" applyFill="1" applyAlignment="1">
      <alignment vertical="top"/>
    </xf>
    <xf numFmtId="178" fontId="12" fillId="2" borderId="0" xfId="2" applyNumberFormat="1" applyFont="1" applyFill="1" applyAlignment="1">
      <alignment horizontal="center" vertical="center"/>
    </xf>
    <xf numFmtId="177" fontId="12" fillId="2" borderId="0" xfId="2" applyNumberFormat="1" applyFont="1" applyFill="1" applyAlignment="1">
      <alignment horizontal="center" vertical="center"/>
    </xf>
    <xf numFmtId="0" fontId="11" fillId="5" borderId="0" xfId="2" applyFill="1" applyAlignment="1">
      <alignment horizontal="left" vertical="center"/>
    </xf>
    <xf numFmtId="0" fontId="30" fillId="5" borderId="0" xfId="2" applyFont="1" applyFill="1" applyAlignment="1" applyProtection="1">
      <alignment horizontal="right" vertical="center"/>
      <protection locked="0"/>
    </xf>
    <xf numFmtId="0" fontId="22" fillId="2" borderId="0" xfId="0" applyFont="1" applyFill="1">
      <alignment vertical="center"/>
    </xf>
    <xf numFmtId="0" fontId="32" fillId="2" borderId="0" xfId="0" applyFont="1" applyFill="1" applyAlignment="1"/>
    <xf numFmtId="0" fontId="12" fillId="2" borderId="0" xfId="0" applyFont="1" applyFill="1">
      <alignment vertical="center"/>
    </xf>
    <xf numFmtId="0" fontId="33" fillId="2" borderId="0" xfId="0" applyFont="1" applyFill="1" applyAlignment="1"/>
    <xf numFmtId="0" fontId="12" fillId="2" borderId="0" xfId="2" applyFont="1" applyFill="1"/>
    <xf numFmtId="0" fontId="12" fillId="5" borderId="0" xfId="2" applyFont="1" applyFill="1"/>
    <xf numFmtId="0" fontId="16" fillId="5" borderId="0" xfId="2" applyFont="1" applyFill="1"/>
    <xf numFmtId="0" fontId="12" fillId="5" borderId="0" xfId="0" applyFont="1" applyFill="1">
      <alignment vertical="center"/>
    </xf>
    <xf numFmtId="0" fontId="35" fillId="5" borderId="0" xfId="3" applyFill="1" applyBorder="1" applyAlignment="1" applyProtection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5" borderId="0" xfId="2" applyFont="1" applyFill="1" applyAlignment="1">
      <alignment horizontal="right" vertical="center"/>
    </xf>
    <xf numFmtId="177" fontId="19" fillId="6" borderId="0" xfId="2" applyNumberFormat="1" applyFont="1" applyFill="1" applyAlignment="1">
      <alignment vertical="center" shrinkToFit="1"/>
    </xf>
    <xf numFmtId="0" fontId="5" fillId="2" borderId="0" xfId="0" applyFont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3" fillId="2" borderId="0" xfId="0" applyFont="1" applyFill="1">
      <alignment vertical="center"/>
    </xf>
    <xf numFmtId="176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3" fillId="2" borderId="7" xfId="0" applyFont="1" applyFill="1" applyBorder="1">
      <alignment vertical="center"/>
    </xf>
    <xf numFmtId="0" fontId="39" fillId="2" borderId="0" xfId="3" applyFont="1" applyFill="1" applyProtection="1">
      <alignment vertical="center"/>
    </xf>
    <xf numFmtId="0" fontId="27" fillId="2" borderId="0" xfId="0" applyFont="1" applyFill="1" applyAlignment="1">
      <alignment horizontal="center" vertical="center"/>
    </xf>
    <xf numFmtId="0" fontId="7" fillId="2" borderId="0" xfId="0" applyFont="1" applyFill="1">
      <alignment vertical="center"/>
    </xf>
    <xf numFmtId="0" fontId="12" fillId="2" borderId="0" xfId="2" applyFont="1" applyFill="1" applyAlignment="1">
      <alignment horizontal="center" vertical="center"/>
    </xf>
    <xf numFmtId="0" fontId="12" fillId="2" borderId="0" xfId="0" applyFont="1" applyFill="1" applyAlignment="1"/>
    <xf numFmtId="0" fontId="11" fillId="5" borderId="0" xfId="0" applyFont="1" applyFill="1">
      <alignment vertical="center"/>
    </xf>
    <xf numFmtId="0" fontId="37" fillId="5" borderId="0" xfId="0" applyFont="1" applyFill="1">
      <alignment vertical="center"/>
    </xf>
    <xf numFmtId="0" fontId="30" fillId="5" borderId="0" xfId="2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2" borderId="24" xfId="2" applyFont="1" applyFill="1" applyBorder="1" applyAlignment="1" applyProtection="1">
      <alignment vertical="center"/>
      <protection locked="0"/>
    </xf>
    <xf numFmtId="0" fontId="5" fillId="2" borderId="1" xfId="0" applyFont="1" applyFill="1" applyBorder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34" xfId="0" applyFont="1" applyFill="1" applyBorder="1">
      <alignment vertical="center"/>
    </xf>
    <xf numFmtId="0" fontId="5" fillId="2" borderId="34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34" xfId="0" quotePrefix="1" applyFont="1" applyFill="1" applyBorder="1" applyAlignment="1">
      <alignment horizontal="center" vertical="center"/>
    </xf>
    <xf numFmtId="0" fontId="5" fillId="2" borderId="53" xfId="0" applyFont="1" applyFill="1" applyBorder="1">
      <alignment vertical="center"/>
    </xf>
    <xf numFmtId="0" fontId="12" fillId="5" borderId="10" xfId="2" applyFont="1" applyFill="1" applyBorder="1" applyAlignment="1">
      <alignment horizontal="center" vertical="center"/>
    </xf>
    <xf numFmtId="178" fontId="12" fillId="2" borderId="10" xfId="2" applyNumberFormat="1" applyFont="1" applyFill="1" applyBorder="1" applyAlignment="1">
      <alignment horizontal="center" vertical="center"/>
    </xf>
    <xf numFmtId="177" fontId="12" fillId="2" borderId="10" xfId="2" applyNumberFormat="1" applyFont="1" applyFill="1" applyBorder="1" applyAlignment="1">
      <alignment horizontal="center" vertical="center"/>
    </xf>
    <xf numFmtId="0" fontId="35" fillId="2" borderId="0" xfId="3" applyFill="1" applyProtection="1">
      <alignment vertical="center"/>
    </xf>
    <xf numFmtId="0" fontId="30" fillId="5" borderId="0" xfId="2" applyFont="1" applyFill="1" applyAlignment="1">
      <alignment horizontal="center" vertical="center"/>
    </xf>
    <xf numFmtId="177" fontId="19" fillId="2" borderId="0" xfId="0" applyNumberFormat="1" applyFont="1" applyFill="1" applyAlignment="1">
      <alignment horizontal="center" vertical="center" shrinkToFit="1"/>
    </xf>
    <xf numFmtId="0" fontId="23" fillId="2" borderId="0" xfId="0" applyFont="1" applyFill="1" applyAlignment="1" applyProtection="1">
      <alignment horizontal="left" vertical="center"/>
      <protection locked="0"/>
    </xf>
    <xf numFmtId="0" fontId="5" fillId="2" borderId="47" xfId="0" applyFont="1" applyFill="1" applyBorder="1" applyAlignment="1">
      <alignment horizontal="center" vertical="center"/>
    </xf>
    <xf numFmtId="178" fontId="37" fillId="2" borderId="10" xfId="2" applyNumberFormat="1" applyFont="1" applyFill="1" applyBorder="1" applyAlignment="1">
      <alignment horizontal="center" vertical="center"/>
    </xf>
    <xf numFmtId="0" fontId="30" fillId="8" borderId="0" xfId="2" applyFont="1" applyFill="1" applyAlignment="1" applyProtection="1">
      <alignment horizontal="center" vertical="center"/>
      <protection locked="0"/>
    </xf>
    <xf numFmtId="0" fontId="40" fillId="8" borderId="0" xfId="2" applyFont="1" applyFill="1" applyAlignment="1" applyProtection="1">
      <alignment horizontal="right" vertical="center"/>
      <protection locked="0"/>
    </xf>
    <xf numFmtId="0" fontId="12" fillId="2" borderId="0" xfId="2" applyFont="1" applyFill="1" applyAlignment="1">
      <alignment horizontal="center"/>
    </xf>
    <xf numFmtId="0" fontId="16" fillId="5" borderId="0" xfId="2" applyFont="1" applyFill="1" applyAlignment="1">
      <alignment horizontal="center" vertical="center"/>
    </xf>
    <xf numFmtId="0" fontId="12" fillId="2" borderId="42" xfId="2" applyFont="1" applyFill="1" applyBorder="1" applyAlignment="1" applyProtection="1">
      <alignment horizontal="center" vertical="center"/>
      <protection locked="0"/>
    </xf>
    <xf numFmtId="0" fontId="12" fillId="2" borderId="0" xfId="2" applyFont="1" applyFill="1" applyAlignment="1">
      <alignment horizontal="center" vertical="center" wrapText="1"/>
    </xf>
    <xf numFmtId="0" fontId="37" fillId="5" borderId="43" xfId="2" applyFont="1" applyFill="1" applyBorder="1" applyAlignment="1">
      <alignment horizontal="center" vertical="center"/>
    </xf>
    <xf numFmtId="0" fontId="37" fillId="5" borderId="47" xfId="2" applyFont="1" applyFill="1" applyBorder="1" applyAlignment="1">
      <alignment horizontal="center" vertical="center"/>
    </xf>
    <xf numFmtId="0" fontId="37" fillId="5" borderId="21" xfId="2" applyFont="1" applyFill="1" applyBorder="1" applyAlignment="1">
      <alignment horizontal="center" vertical="center"/>
    </xf>
    <xf numFmtId="0" fontId="12" fillId="5" borderId="0" xfId="2" applyFont="1" applyFill="1" applyAlignment="1" applyProtection="1">
      <alignment horizontal="left" vertical="center"/>
      <protection locked="0"/>
    </xf>
    <xf numFmtId="0" fontId="12" fillId="5" borderId="0" xfId="2" applyFont="1" applyFill="1" applyAlignment="1" applyProtection="1">
      <alignment vertical="center"/>
      <protection locked="0"/>
    </xf>
    <xf numFmtId="183" fontId="12" fillId="2" borderId="0" xfId="2" applyNumberFormat="1" applyFont="1" applyFill="1" applyAlignment="1">
      <alignment horizontal="center" vertical="center"/>
    </xf>
    <xf numFmtId="0" fontId="38" fillId="4" borderId="0" xfId="0" applyFont="1" applyFill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30" fillId="2" borderId="0" xfId="2" applyFont="1" applyFill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top" wrapText="1"/>
      <protection locked="0"/>
    </xf>
    <xf numFmtId="181" fontId="8" fillId="3" borderId="31" xfId="0" applyNumberFormat="1" applyFont="1" applyFill="1" applyBorder="1" applyAlignment="1">
      <alignment horizontal="center" vertical="center" wrapText="1"/>
    </xf>
    <xf numFmtId="0" fontId="0" fillId="8" borderId="32" xfId="0" applyFill="1" applyBorder="1" applyAlignment="1" applyProtection="1">
      <alignment vertical="top" wrapText="1"/>
      <protection locked="0"/>
    </xf>
    <xf numFmtId="181" fontId="8" fillId="3" borderId="34" xfId="0" applyNumberFormat="1" applyFont="1" applyFill="1" applyBorder="1" applyAlignment="1">
      <alignment horizontal="center" vertical="center" wrapText="1"/>
    </xf>
    <xf numFmtId="181" fontId="8" fillId="3" borderId="36" xfId="0" applyNumberFormat="1" applyFont="1" applyFill="1" applyBorder="1" applyAlignment="1">
      <alignment horizontal="center" vertical="center" wrapText="1"/>
    </xf>
    <xf numFmtId="0" fontId="0" fillId="2" borderId="32" xfId="0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2" borderId="37" xfId="0" applyFill="1" applyBorder="1" applyAlignment="1">
      <alignment vertical="top" wrapText="1"/>
    </xf>
    <xf numFmtId="0" fontId="24" fillId="2" borderId="25" xfId="0" applyFont="1" applyFill="1" applyBorder="1">
      <alignment vertical="center"/>
    </xf>
    <xf numFmtId="0" fontId="24" fillId="2" borderId="0" xfId="0" applyFont="1" applyFill="1">
      <alignment vertical="center"/>
    </xf>
    <xf numFmtId="0" fontId="26" fillId="2" borderId="0" xfId="0" applyFont="1" applyFill="1">
      <alignment vertical="center"/>
    </xf>
    <xf numFmtId="0" fontId="24" fillId="2" borderId="13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23" fillId="2" borderId="14" xfId="0" applyFont="1" applyFill="1" applyBorder="1">
      <alignment vertical="center"/>
    </xf>
    <xf numFmtId="0" fontId="25" fillId="2" borderId="0" xfId="0" applyFont="1" applyFill="1" applyAlignment="1">
      <alignment horizontal="left" vertical="center"/>
    </xf>
    <xf numFmtId="49" fontId="23" fillId="8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4" fillId="8" borderId="0" xfId="0" applyFont="1" applyFill="1" applyAlignment="1" applyProtection="1">
      <alignment horizontal="center" vertical="center" shrinkToFit="1"/>
      <protection locked="0"/>
    </xf>
    <xf numFmtId="0" fontId="50" fillId="8" borderId="33" xfId="0" applyFont="1" applyFill="1" applyBorder="1" applyAlignment="1" applyProtection="1">
      <alignment vertical="top" wrapText="1"/>
      <protection locked="0"/>
    </xf>
    <xf numFmtId="0" fontId="37" fillId="5" borderId="0" xfId="0" quotePrefix="1" applyFont="1" applyFill="1">
      <alignment vertical="center"/>
    </xf>
    <xf numFmtId="0" fontId="50" fillId="8" borderId="35" xfId="0" applyFont="1" applyFill="1" applyBorder="1" applyAlignment="1" applyProtection="1">
      <alignment vertical="top" wrapText="1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47" xfId="0" applyFont="1" applyFill="1" applyBorder="1" applyAlignment="1">
      <alignment horizontal="center" vertical="center"/>
    </xf>
    <xf numFmtId="0" fontId="23" fillId="2" borderId="17" xfId="0" applyFont="1" applyFill="1" applyBorder="1">
      <alignment vertical="center"/>
    </xf>
    <xf numFmtId="0" fontId="23" fillId="2" borderId="26" xfId="0" applyFont="1" applyFill="1" applyBorder="1">
      <alignment vertical="center"/>
    </xf>
    <xf numFmtId="0" fontId="42" fillId="5" borderId="0" xfId="2" applyFont="1" applyFill="1" applyAlignment="1">
      <alignment vertical="center"/>
    </xf>
    <xf numFmtId="0" fontId="42" fillId="5" borderId="0" xfId="2" applyFont="1" applyFill="1" applyAlignment="1">
      <alignment horizontal="left" vertical="center"/>
    </xf>
    <xf numFmtId="0" fontId="55" fillId="2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34" fillId="2" borderId="0" xfId="0" applyFont="1" applyFill="1" applyAlignment="1" applyProtection="1">
      <alignment horizontal="center" vertical="center"/>
      <protection locked="0"/>
    </xf>
    <xf numFmtId="0" fontId="34" fillId="2" borderId="59" xfId="0" applyFont="1" applyFill="1" applyBorder="1" applyAlignment="1" applyProtection="1">
      <alignment horizontal="center" vertical="center"/>
      <protection locked="0"/>
    </xf>
    <xf numFmtId="0" fontId="5" fillId="2" borderId="59" xfId="0" applyFont="1" applyFill="1" applyBorder="1" applyProtection="1">
      <alignment vertical="center"/>
      <protection locked="0"/>
    </xf>
    <xf numFmtId="0" fontId="5" fillId="2" borderId="59" xfId="0" applyFont="1" applyFill="1" applyBorder="1" applyAlignment="1" applyProtection="1">
      <alignment horizontal="center" vertical="center"/>
      <protection locked="0"/>
    </xf>
    <xf numFmtId="184" fontId="0" fillId="0" borderId="56" xfId="0" applyNumberFormat="1" applyBorder="1" applyAlignment="1" applyProtection="1">
      <alignment vertical="top" wrapText="1"/>
      <protection locked="0"/>
    </xf>
    <xf numFmtId="0" fontId="0" fillId="0" borderId="56" xfId="0" applyBorder="1" applyAlignment="1" applyProtection="1">
      <alignment vertical="top" wrapText="1"/>
      <protection locked="0"/>
    </xf>
    <xf numFmtId="184" fontId="29" fillId="0" borderId="1" xfId="0" applyNumberFormat="1" applyFont="1" applyBorder="1" applyAlignment="1" applyProtection="1">
      <alignment horizontal="center" vertical="center" wrapText="1"/>
      <protection locked="0"/>
    </xf>
    <xf numFmtId="184" fontId="29" fillId="0" borderId="1" xfId="0" applyNumberFormat="1" applyFont="1" applyBorder="1" applyAlignment="1" applyProtection="1">
      <alignment horizontal="center" vertical="top" wrapText="1"/>
      <protection locked="0"/>
    </xf>
    <xf numFmtId="0" fontId="49" fillId="0" borderId="0" xfId="5" applyProtection="1">
      <protection locked="0"/>
    </xf>
    <xf numFmtId="0" fontId="0" fillId="0" borderId="57" xfId="0" applyBorder="1" applyAlignment="1" applyProtection="1">
      <alignment vertical="top" wrapText="1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0" fillId="0" borderId="0" xfId="0" applyAlignment="1" applyProtection="1">
      <protection locked="0"/>
    </xf>
    <xf numFmtId="0" fontId="37" fillId="0" borderId="0" xfId="5" applyFont="1" applyProtection="1">
      <protection locked="0"/>
    </xf>
    <xf numFmtId="0" fontId="56" fillId="0" borderId="56" xfId="5" applyFont="1" applyBorder="1" applyAlignment="1">
      <alignment horizontal="left" vertical="center" wrapText="1"/>
    </xf>
    <xf numFmtId="0" fontId="57" fillId="0" borderId="56" xfId="5" applyFont="1" applyBorder="1" applyAlignment="1">
      <alignment horizontal="left" vertical="center" wrapText="1"/>
    </xf>
    <xf numFmtId="0" fontId="56" fillId="0" borderId="0" xfId="5" applyFont="1"/>
    <xf numFmtId="0" fontId="12" fillId="5" borderId="4" xfId="2" applyFont="1" applyFill="1" applyBorder="1" applyAlignment="1">
      <alignment horizontal="center"/>
    </xf>
    <xf numFmtId="0" fontId="58" fillId="0" borderId="56" xfId="0" applyFont="1" applyBorder="1" applyAlignment="1" applyProtection="1">
      <alignment vertical="top" wrapText="1"/>
      <protection locked="0"/>
    </xf>
    <xf numFmtId="0" fontId="5" fillId="2" borderId="43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60" fillId="5" borderId="7" xfId="2" applyFont="1" applyFill="1" applyBorder="1" applyAlignment="1">
      <alignment vertical="center"/>
    </xf>
    <xf numFmtId="0" fontId="60" fillId="5" borderId="0" xfId="2" applyFont="1" applyFill="1" applyAlignment="1">
      <alignment horizontal="center" vertical="center"/>
    </xf>
    <xf numFmtId="0" fontId="60" fillId="5" borderId="7" xfId="2" applyFont="1" applyFill="1" applyBorder="1" applyAlignment="1">
      <alignment horizontal="center" vertical="center"/>
    </xf>
    <xf numFmtId="0" fontId="22" fillId="5" borderId="0" xfId="2" applyFont="1" applyFill="1" applyAlignment="1">
      <alignment vertical="center"/>
    </xf>
    <xf numFmtId="0" fontId="12" fillId="2" borderId="0" xfId="4" applyFont="1" applyFill="1" applyAlignment="1">
      <alignment horizontal="center" vertical="center"/>
    </xf>
    <xf numFmtId="0" fontId="51" fillId="0" borderId="36" xfId="4" applyFont="1" applyBorder="1" applyAlignment="1">
      <alignment horizontal="center" vertical="center" wrapText="1"/>
    </xf>
    <xf numFmtId="0" fontId="51" fillId="0" borderId="34" xfId="4" applyFont="1" applyBorder="1" applyAlignment="1">
      <alignment horizontal="center" vertical="center" wrapText="1"/>
    </xf>
    <xf numFmtId="0" fontId="16" fillId="0" borderId="0" xfId="4" applyFont="1">
      <alignment vertical="center"/>
    </xf>
    <xf numFmtId="0" fontId="63" fillId="2" borderId="0" xfId="4" applyFont="1" applyFill="1">
      <alignment vertical="center"/>
    </xf>
    <xf numFmtId="0" fontId="12" fillId="2" borderId="0" xfId="4" applyFont="1" applyFill="1" applyAlignment="1">
      <alignment horizontal="left" vertical="center"/>
    </xf>
    <xf numFmtId="0" fontId="16" fillId="2" borderId="0" xfId="4" applyFont="1" applyFill="1">
      <alignment vertical="center"/>
    </xf>
    <xf numFmtId="0" fontId="16" fillId="0" borderId="0" xfId="4" applyFont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30" fillId="2" borderId="0" xfId="2" applyFont="1" applyFill="1" applyAlignment="1">
      <alignment horizontal="center" vertical="center"/>
    </xf>
    <xf numFmtId="0" fontId="12" fillId="5" borderId="4" xfId="2" applyFont="1" applyFill="1" applyBorder="1" applyAlignment="1" applyProtection="1">
      <alignment horizontal="center" vertical="center"/>
      <protection locked="0"/>
    </xf>
    <xf numFmtId="0" fontId="5" fillId="2" borderId="48" xfId="0" quotePrefix="1" applyFont="1" applyFill="1" applyBorder="1" applyAlignment="1">
      <alignment horizontal="center" vertical="center"/>
    </xf>
    <xf numFmtId="0" fontId="5" fillId="2" borderId="2" xfId="0" applyFont="1" applyFill="1" applyBorder="1">
      <alignment vertical="center"/>
    </xf>
    <xf numFmtId="0" fontId="12" fillId="5" borderId="3" xfId="2" applyFont="1" applyFill="1" applyBorder="1" applyAlignment="1" applyProtection="1">
      <alignment horizontal="center" vertical="center"/>
      <protection locked="0"/>
    </xf>
    <xf numFmtId="0" fontId="5" fillId="9" borderId="44" xfId="0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12" fillId="5" borderId="1" xfId="2" applyFont="1" applyFill="1" applyBorder="1" applyAlignment="1">
      <alignment horizontal="center" vertical="center"/>
    </xf>
    <xf numFmtId="0" fontId="21" fillId="5" borderId="1" xfId="2" applyFont="1" applyFill="1" applyBorder="1" applyAlignment="1">
      <alignment horizontal="center" vertical="center" wrapText="1"/>
    </xf>
    <xf numFmtId="0" fontId="21" fillId="5" borderId="2" xfId="2" applyFont="1" applyFill="1" applyBorder="1" applyAlignment="1">
      <alignment horizontal="center" vertical="center" wrapText="1"/>
    </xf>
    <xf numFmtId="0" fontId="21" fillId="5" borderId="35" xfId="2" applyFont="1" applyFill="1" applyBorder="1" applyAlignment="1">
      <alignment horizontal="center" vertical="center" wrapText="1"/>
    </xf>
    <xf numFmtId="182" fontId="5" fillId="2" borderId="1" xfId="0" applyNumberFormat="1" applyFont="1" applyFill="1" applyBorder="1" applyAlignment="1">
      <alignment horizontal="center" vertical="center"/>
    </xf>
    <xf numFmtId="0" fontId="12" fillId="5" borderId="2" xfId="2" applyFont="1" applyFill="1" applyBorder="1" applyAlignment="1">
      <alignment horizontal="center" vertical="center"/>
    </xf>
    <xf numFmtId="0" fontId="12" fillId="5" borderId="35" xfId="2" applyFont="1" applyFill="1" applyBorder="1" applyAlignment="1">
      <alignment horizontal="center" vertical="center"/>
    </xf>
    <xf numFmtId="0" fontId="5" fillId="2" borderId="54" xfId="0" applyFont="1" applyFill="1" applyBorder="1">
      <alignment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6" xfId="0" quotePrefix="1" applyFont="1" applyFill="1" applyBorder="1" applyAlignment="1">
      <alignment horizontal="center" vertical="center"/>
    </xf>
    <xf numFmtId="0" fontId="5" fillId="2" borderId="37" xfId="0" quotePrefix="1" applyFont="1" applyFill="1" applyBorder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12" fillId="5" borderId="37" xfId="2" applyFont="1" applyFill="1" applyBorder="1" applyAlignment="1">
      <alignment horizontal="center" vertical="center"/>
    </xf>
    <xf numFmtId="0" fontId="12" fillId="5" borderId="23" xfId="2" applyFont="1" applyFill="1" applyBorder="1" applyAlignment="1">
      <alignment horizontal="center" vertical="center"/>
    </xf>
    <xf numFmtId="0" fontId="12" fillId="5" borderId="38" xfId="2" applyFont="1" applyFill="1" applyBorder="1" applyAlignment="1">
      <alignment horizontal="center" vertical="center"/>
    </xf>
    <xf numFmtId="0" fontId="35" fillId="5" borderId="0" xfId="3" applyFill="1" applyAlignment="1" applyProtection="1">
      <alignment horizontal="left" vertical="center"/>
    </xf>
    <xf numFmtId="0" fontId="60" fillId="5" borderId="0" xfId="2" applyFont="1" applyFill="1" applyAlignment="1">
      <alignment vertical="center"/>
    </xf>
    <xf numFmtId="0" fontId="73" fillId="5" borderId="0" xfId="2" applyFont="1" applyFill="1" applyAlignment="1">
      <alignment vertical="center"/>
    </xf>
    <xf numFmtId="0" fontId="74" fillId="2" borderId="0" xfId="0" applyFont="1" applyFill="1">
      <alignment vertical="center"/>
    </xf>
    <xf numFmtId="0" fontId="75" fillId="2" borderId="0" xfId="0" applyFont="1" applyFill="1">
      <alignment vertical="center"/>
    </xf>
    <xf numFmtId="0" fontId="76" fillId="2" borderId="1" xfId="1" applyFont="1" applyFill="1" applyBorder="1" applyAlignment="1">
      <alignment horizontal="center" vertical="center"/>
    </xf>
    <xf numFmtId="0" fontId="76" fillId="2" borderId="0" xfId="1" applyFont="1" applyFill="1" applyAlignment="1">
      <alignment horizontal="center" vertical="center"/>
    </xf>
    <xf numFmtId="49" fontId="76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0" fontId="46" fillId="10" borderId="1" xfId="0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top"/>
    </xf>
    <xf numFmtId="22" fontId="47" fillId="0" borderId="1" xfId="0" applyNumberFormat="1" applyFont="1" applyBorder="1" applyAlignment="1">
      <alignment horizontal="left" vertical="top"/>
    </xf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right" vertical="top"/>
    </xf>
    <xf numFmtId="0" fontId="47" fillId="11" borderId="1" xfId="0" applyFont="1" applyFill="1" applyBorder="1" applyAlignment="1">
      <alignment horizontal="right" vertical="top"/>
    </xf>
    <xf numFmtId="0" fontId="58" fillId="0" borderId="67" xfId="0" applyFont="1" applyBorder="1" applyAlignment="1" applyProtection="1">
      <alignment vertical="top" wrapText="1"/>
      <protection locked="0"/>
    </xf>
    <xf numFmtId="0" fontId="0" fillId="0" borderId="68" xfId="0" applyBorder="1" applyAlignment="1" applyProtection="1">
      <alignment vertical="top" wrapText="1"/>
      <protection locked="0"/>
    </xf>
    <xf numFmtId="0" fontId="56" fillId="0" borderId="57" xfId="5" applyFont="1" applyBorder="1" applyAlignment="1">
      <alignment horizontal="left" vertical="center" wrapText="1"/>
    </xf>
    <xf numFmtId="0" fontId="58" fillId="0" borderId="69" xfId="0" applyFont="1" applyBorder="1" applyAlignment="1" applyProtection="1">
      <alignment vertical="top" wrapText="1"/>
      <protection locked="0"/>
    </xf>
    <xf numFmtId="0" fontId="0" fillId="0" borderId="69" xfId="0" applyBorder="1" applyAlignment="1" applyProtection="1">
      <alignment vertical="top" wrapText="1"/>
      <protection locked="0"/>
    </xf>
    <xf numFmtId="0" fontId="49" fillId="0" borderId="1" xfId="5" applyBorder="1" applyProtection="1">
      <protection locked="0"/>
    </xf>
    <xf numFmtId="0" fontId="12" fillId="5" borderId="55" xfId="2" applyFont="1" applyFill="1" applyBorder="1" applyAlignment="1" applyProtection="1">
      <alignment horizontal="center" vertical="center"/>
      <protection locked="0"/>
    </xf>
    <xf numFmtId="0" fontId="12" fillId="5" borderId="59" xfId="2" applyFont="1" applyFill="1" applyBorder="1" applyAlignment="1" applyProtection="1">
      <alignment horizontal="center" vertical="center"/>
      <protection locked="0"/>
    </xf>
    <xf numFmtId="0" fontId="12" fillId="2" borderId="0" xfId="4" applyFont="1" applyFill="1">
      <alignment vertical="center"/>
    </xf>
    <xf numFmtId="0" fontId="42" fillId="2" borderId="0" xfId="4" applyFont="1" applyFill="1">
      <alignment vertical="center"/>
    </xf>
    <xf numFmtId="0" fontId="42" fillId="2" borderId="0" xfId="4" applyFont="1" applyFill="1" applyAlignment="1">
      <alignment horizontal="right" vertical="center"/>
    </xf>
    <xf numFmtId="0" fontId="54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79" fillId="2" borderId="0" xfId="0" applyFont="1" applyFill="1" applyAlignment="1">
      <alignment horizontal="center" vertical="center"/>
    </xf>
    <xf numFmtId="0" fontId="79" fillId="2" borderId="0" xfId="0" applyFont="1" applyFill="1">
      <alignment vertical="center"/>
    </xf>
    <xf numFmtId="0" fontId="80" fillId="2" borderId="0" xfId="0" applyFont="1" applyFill="1" applyAlignment="1">
      <alignment horizontal="right" vertical="center" wrapText="1"/>
    </xf>
    <xf numFmtId="0" fontId="80" fillId="2" borderId="0" xfId="0" applyFont="1" applyFill="1" applyAlignment="1">
      <alignment vertical="center" wrapText="1"/>
    </xf>
    <xf numFmtId="0" fontId="80" fillId="2" borderId="0" xfId="0" applyFont="1" applyFill="1" applyAlignment="1">
      <alignment horizontal="left" vertical="center"/>
    </xf>
    <xf numFmtId="0" fontId="11" fillId="2" borderId="0" xfId="0" applyFont="1" applyFill="1">
      <alignment vertical="center"/>
    </xf>
    <xf numFmtId="0" fontId="11" fillId="2" borderId="0" xfId="0" applyFont="1" applyFill="1" applyAlignment="1">
      <alignment vertical="center" wrapText="1"/>
    </xf>
    <xf numFmtId="0" fontId="6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14" borderId="0" xfId="0" applyFont="1" applyFill="1">
      <alignment vertical="center"/>
    </xf>
    <xf numFmtId="0" fontId="5" fillId="2" borderId="58" xfId="0" quotePrefix="1" applyFont="1" applyFill="1" applyBorder="1">
      <alignment vertical="center"/>
    </xf>
    <xf numFmtId="0" fontId="5" fillId="2" borderId="53" xfId="0" applyFont="1" applyFill="1" applyBorder="1" applyAlignment="1">
      <alignment horizontal="left" vertical="center"/>
    </xf>
    <xf numFmtId="0" fontId="5" fillId="2" borderId="48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center" vertical="center"/>
    </xf>
    <xf numFmtId="0" fontId="0" fillId="0" borderId="67" xfId="0" applyBorder="1" applyAlignment="1" applyProtection="1">
      <alignment vertical="top" wrapText="1"/>
      <protection locked="0"/>
    </xf>
    <xf numFmtId="0" fontId="17" fillId="15" borderId="1" xfId="0" applyFont="1" applyFill="1" applyBorder="1" applyAlignment="1">
      <alignment horizontal="center" vertical="center" wrapText="1"/>
    </xf>
    <xf numFmtId="187" fontId="12" fillId="2" borderId="1" xfId="4" applyNumberFormat="1" applyFont="1" applyFill="1" applyBorder="1" applyAlignment="1">
      <alignment horizontal="center" vertical="center"/>
    </xf>
    <xf numFmtId="0" fontId="12" fillId="2" borderId="1" xfId="4" applyFont="1" applyFill="1" applyBorder="1" applyAlignment="1">
      <alignment horizontal="center" vertical="center"/>
    </xf>
    <xf numFmtId="0" fontId="50" fillId="8" borderId="35" xfId="0" applyFont="1" applyFill="1" applyBorder="1" applyAlignment="1">
      <alignment vertical="top" wrapText="1"/>
    </xf>
    <xf numFmtId="0" fontId="62" fillId="2" borderId="28" xfId="0" applyFont="1" applyFill="1" applyBorder="1" applyAlignment="1"/>
    <xf numFmtId="0" fontId="61" fillId="2" borderId="28" xfId="0" applyFont="1" applyFill="1" applyBorder="1" applyAlignment="1">
      <alignment horizontal="center" vertical="center"/>
    </xf>
    <xf numFmtId="0" fontId="37" fillId="2" borderId="1" xfId="4" applyFont="1" applyFill="1" applyBorder="1" applyAlignment="1">
      <alignment horizontal="center" vertical="center" wrapText="1"/>
    </xf>
    <xf numFmtId="0" fontId="12" fillId="2" borderId="5" xfId="4" applyFont="1" applyFill="1" applyBorder="1">
      <alignment vertical="center"/>
    </xf>
    <xf numFmtId="188" fontId="12" fillId="2" borderId="1" xfId="4" applyNumberFormat="1" applyFont="1" applyFill="1" applyBorder="1" applyAlignment="1">
      <alignment horizontal="center" vertical="center"/>
    </xf>
    <xf numFmtId="180" fontId="51" fillId="0" borderId="35" xfId="4" applyNumberFormat="1" applyFont="1" applyBorder="1" applyAlignment="1">
      <alignment horizontal="center" vertical="center" wrapText="1"/>
    </xf>
    <xf numFmtId="180" fontId="51" fillId="0" borderId="38" xfId="4" applyNumberFormat="1" applyFont="1" applyBorder="1" applyAlignment="1">
      <alignment horizontal="center" vertical="center" wrapText="1"/>
    </xf>
    <xf numFmtId="181" fontId="12" fillId="2" borderId="0" xfId="7" applyNumberFormat="1" applyFont="1" applyFill="1" applyBorder="1" applyAlignment="1" applyProtection="1">
      <alignment horizontal="center" vertical="center"/>
    </xf>
    <xf numFmtId="0" fontId="21" fillId="2" borderId="1" xfId="2" applyFont="1" applyFill="1" applyBorder="1" applyAlignment="1">
      <alignment horizontal="center" vertical="center" wrapText="1"/>
    </xf>
    <xf numFmtId="0" fontId="21" fillId="2" borderId="2" xfId="2" applyFont="1" applyFill="1" applyBorder="1" applyAlignment="1">
      <alignment horizontal="center" vertical="center" wrapText="1"/>
    </xf>
    <xf numFmtId="0" fontId="21" fillId="2" borderId="35" xfId="2" applyFont="1" applyFill="1" applyBorder="1" applyAlignment="1">
      <alignment horizontal="center" vertical="center" wrapText="1"/>
    </xf>
    <xf numFmtId="0" fontId="80" fillId="2" borderId="0" xfId="0" applyFont="1" applyFill="1" applyAlignment="1">
      <alignment horizontal="left" vertical="center" wrapText="1"/>
    </xf>
    <xf numFmtId="0" fontId="65" fillId="0" borderId="0" xfId="4" applyFont="1" applyAlignment="1">
      <alignment horizontal="center" vertical="center"/>
    </xf>
    <xf numFmtId="0" fontId="11" fillId="2" borderId="1" xfId="4" applyFont="1" applyFill="1" applyBorder="1" applyAlignment="1">
      <alignment horizontal="center" vertical="center" wrapText="1"/>
    </xf>
    <xf numFmtId="182" fontId="12" fillId="2" borderId="1" xfId="4" applyNumberFormat="1" applyFont="1" applyFill="1" applyBorder="1" applyAlignment="1">
      <alignment horizontal="center" vertical="center"/>
    </xf>
    <xf numFmtId="0" fontId="12" fillId="2" borderId="0" xfId="4" applyFont="1" applyFill="1" applyAlignment="1">
      <alignment horizontal="center" vertical="center" wrapText="1"/>
    </xf>
    <xf numFmtId="0" fontId="11" fillId="2" borderId="0" xfId="4" applyFont="1" applyFill="1" applyAlignment="1">
      <alignment horizontal="center" vertical="center" wrapText="1"/>
    </xf>
    <xf numFmtId="0" fontId="42" fillId="2" borderId="0" xfId="4" applyFont="1" applyFill="1" applyAlignment="1">
      <alignment horizontal="left" vertical="center"/>
    </xf>
    <xf numFmtId="14" fontId="42" fillId="2" borderId="0" xfId="4" applyNumberFormat="1" applyFont="1" applyFill="1" applyAlignment="1">
      <alignment horizontal="center" vertical="center" shrinkToFit="1"/>
    </xf>
    <xf numFmtId="0" fontId="62" fillId="2" borderId="0" xfId="0" applyFont="1" applyFill="1" applyAlignment="1"/>
    <xf numFmtId="182" fontId="12" fillId="2" borderId="0" xfId="4" applyNumberFormat="1" applyFont="1" applyFill="1" applyAlignment="1">
      <alignment horizontal="center" vertical="center"/>
    </xf>
    <xf numFmtId="181" fontId="42" fillId="2" borderId="25" xfId="4" applyNumberFormat="1" applyFont="1" applyFill="1" applyBorder="1" applyAlignment="1">
      <alignment horizontal="center" vertical="center"/>
    </xf>
    <xf numFmtId="187" fontId="82" fillId="7" borderId="71" xfId="4" applyNumberFormat="1" applyFont="1" applyFill="1" applyBorder="1" applyAlignment="1">
      <alignment horizontal="center" shrinkToFit="1"/>
    </xf>
    <xf numFmtId="187" fontId="64" fillId="7" borderId="72" xfId="4" applyNumberFormat="1" applyFont="1" applyFill="1" applyBorder="1" applyAlignment="1">
      <alignment vertical="center" shrinkToFit="1"/>
    </xf>
    <xf numFmtId="0" fontId="42" fillId="2" borderId="6" xfId="4" applyFont="1" applyFill="1" applyBorder="1" applyAlignment="1">
      <alignment horizontal="right" vertical="center"/>
    </xf>
    <xf numFmtId="9" fontId="42" fillId="2" borderId="19" xfId="4" applyNumberFormat="1" applyFont="1" applyFill="1" applyBorder="1" applyAlignment="1">
      <alignment horizontal="center" vertical="center"/>
    </xf>
    <xf numFmtId="187" fontId="82" fillId="7" borderId="47" xfId="4" applyNumberFormat="1" applyFont="1" applyFill="1" applyBorder="1" applyAlignment="1">
      <alignment horizontal="center" shrinkToFit="1"/>
    </xf>
    <xf numFmtId="187" fontId="64" fillId="7" borderId="20" xfId="4" applyNumberFormat="1" applyFont="1" applyFill="1" applyBorder="1" applyAlignment="1">
      <alignment vertical="center" shrinkToFit="1"/>
    </xf>
    <xf numFmtId="0" fontId="42" fillId="2" borderId="2" xfId="4" applyFont="1" applyFill="1" applyBorder="1" applyAlignment="1">
      <alignment horizontal="right" vertical="center"/>
    </xf>
    <xf numFmtId="187" fontId="64" fillId="7" borderId="47" xfId="4" applyNumberFormat="1" applyFont="1" applyFill="1" applyBorder="1" applyAlignment="1">
      <alignment horizontal="center" vertical="center" shrinkToFit="1"/>
    </xf>
    <xf numFmtId="187" fontId="64" fillId="7" borderId="21" xfId="4" applyNumberFormat="1" applyFont="1" applyFill="1" applyBorder="1" applyAlignment="1">
      <alignment horizontal="center" vertical="center" shrinkToFit="1"/>
    </xf>
    <xf numFmtId="187" fontId="64" fillId="7" borderId="24" xfId="4" applyNumberFormat="1" applyFont="1" applyFill="1" applyBorder="1" applyAlignment="1">
      <alignment vertical="center" shrinkToFit="1"/>
    </xf>
    <xf numFmtId="0" fontId="42" fillId="2" borderId="23" xfId="4" applyFont="1" applyFill="1" applyBorder="1" applyAlignment="1">
      <alignment horizontal="right" vertical="center"/>
    </xf>
    <xf numFmtId="9" fontId="42" fillId="2" borderId="38" xfId="4" applyNumberFormat="1" applyFont="1" applyFill="1" applyBorder="1" applyAlignment="1">
      <alignment horizontal="center" vertical="center"/>
    </xf>
    <xf numFmtId="189" fontId="12" fillId="2" borderId="75" xfId="4" applyNumberFormat="1" applyFont="1" applyFill="1" applyBorder="1" applyAlignment="1">
      <alignment horizontal="center" vertical="center"/>
    </xf>
    <xf numFmtId="189" fontId="12" fillId="2" borderId="4" xfId="4" applyNumberFormat="1" applyFont="1" applyFill="1" applyBorder="1" applyAlignment="1">
      <alignment horizontal="center" vertical="center"/>
    </xf>
    <xf numFmtId="189" fontId="12" fillId="2" borderId="22" xfId="4" applyNumberFormat="1" applyFont="1" applyFill="1" applyBorder="1" applyAlignment="1">
      <alignment horizontal="center" vertical="center"/>
    </xf>
    <xf numFmtId="0" fontId="5" fillId="2" borderId="76" xfId="0" applyFont="1" applyFill="1" applyBorder="1">
      <alignment vertical="center"/>
    </xf>
    <xf numFmtId="0" fontId="5" fillId="2" borderId="77" xfId="0" applyFont="1" applyFill="1" applyBorder="1" applyAlignment="1">
      <alignment horizontal="center" vertical="center"/>
    </xf>
    <xf numFmtId="0" fontId="5" fillId="2" borderId="45" xfId="0" quotePrefix="1" applyFont="1" applyFill="1" applyBorder="1" applyAlignment="1">
      <alignment horizontal="center" vertical="center"/>
    </xf>
    <xf numFmtId="0" fontId="5" fillId="2" borderId="44" xfId="0" quotePrefix="1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12" fillId="5" borderId="44" xfId="2" applyFont="1" applyFill="1" applyBorder="1" applyAlignment="1">
      <alignment horizontal="center" vertical="center"/>
    </xf>
    <xf numFmtId="0" fontId="12" fillId="5" borderId="60" xfId="2" applyFont="1" applyFill="1" applyBorder="1" applyAlignment="1">
      <alignment horizontal="center" vertical="center"/>
    </xf>
    <xf numFmtId="0" fontId="12" fillId="5" borderId="46" xfId="2" applyFont="1" applyFill="1" applyBorder="1" applyAlignment="1">
      <alignment horizontal="center" vertical="center"/>
    </xf>
    <xf numFmtId="0" fontId="5" fillId="2" borderId="62" xfId="0" quotePrefix="1" applyFont="1" applyFill="1" applyBorder="1" applyAlignment="1">
      <alignment horizontal="center" vertical="center"/>
    </xf>
    <xf numFmtId="0" fontId="5" fillId="2" borderId="6" xfId="0" quotePrefix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60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9" borderId="78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2" fillId="5" borderId="4" xfId="2" applyFont="1" applyFill="1" applyBorder="1" applyAlignment="1">
      <alignment horizontal="center" vertical="center"/>
    </xf>
    <xf numFmtId="0" fontId="12" fillId="2" borderId="4" xfId="2" applyFont="1" applyFill="1" applyBorder="1" applyAlignment="1">
      <alignment horizontal="center" vertical="center"/>
    </xf>
    <xf numFmtId="0" fontId="12" fillId="5" borderId="78" xfId="2" applyFont="1" applyFill="1" applyBorder="1" applyAlignment="1">
      <alignment horizontal="center" vertical="center"/>
    </xf>
    <xf numFmtId="0" fontId="12" fillId="5" borderId="22" xfId="2" applyFont="1" applyFill="1" applyBorder="1" applyAlignment="1">
      <alignment horizontal="center" vertical="center"/>
    </xf>
    <xf numFmtId="0" fontId="5" fillId="9" borderId="37" xfId="0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0" fontId="5" fillId="2" borderId="17" xfId="0" applyFont="1" applyFill="1" applyBorder="1">
      <alignment vertical="center"/>
    </xf>
    <xf numFmtId="0" fontId="5" fillId="2" borderId="26" xfId="0" applyFont="1" applyFill="1" applyBorder="1">
      <alignment vertical="center"/>
    </xf>
    <xf numFmtId="0" fontId="24" fillId="2" borderId="27" xfId="0" applyFont="1" applyFill="1" applyBorder="1">
      <alignment vertical="center"/>
    </xf>
    <xf numFmtId="0" fontId="24" fillId="2" borderId="28" xfId="0" applyFont="1" applyFill="1" applyBorder="1">
      <alignment vertical="center"/>
    </xf>
    <xf numFmtId="0" fontId="23" fillId="2" borderId="28" xfId="0" applyFont="1" applyFill="1" applyBorder="1">
      <alignment vertical="center"/>
    </xf>
    <xf numFmtId="0" fontId="5" fillId="2" borderId="29" xfId="0" applyFont="1" applyFill="1" applyBorder="1">
      <alignment vertical="center"/>
    </xf>
    <xf numFmtId="0" fontId="40" fillId="8" borderId="14" xfId="2" applyFont="1" applyFill="1" applyBorder="1" applyAlignment="1">
      <alignment horizontal="right" vertical="center"/>
    </xf>
    <xf numFmtId="0" fontId="40" fillId="8" borderId="0" xfId="2" applyFont="1" applyFill="1" applyAlignment="1">
      <alignment horizontal="right" vertical="center"/>
    </xf>
    <xf numFmtId="0" fontId="40" fillId="8" borderId="28" xfId="2" applyFont="1" applyFill="1" applyBorder="1" applyAlignment="1">
      <alignment horizontal="right" vertical="center"/>
    </xf>
    <xf numFmtId="0" fontId="5" fillId="9" borderId="36" xfId="0" applyFont="1" applyFill="1" applyBorder="1" applyAlignment="1">
      <alignment horizontal="center" vertical="center"/>
    </xf>
    <xf numFmtId="0" fontId="5" fillId="2" borderId="51" xfId="0" quotePrefix="1" applyFont="1" applyFill="1" applyBorder="1" applyAlignment="1">
      <alignment horizontal="center" vertical="center"/>
    </xf>
    <xf numFmtId="0" fontId="5" fillId="2" borderId="35" xfId="0" quotePrefix="1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29" fillId="8" borderId="35" xfId="0" applyFont="1" applyFill="1" applyBorder="1" applyAlignment="1" applyProtection="1">
      <alignment vertical="top" wrapText="1"/>
      <protection locked="0"/>
    </xf>
    <xf numFmtId="0" fontId="11" fillId="8" borderId="38" xfId="0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189" fontId="5" fillId="2" borderId="1" xfId="0" applyNumberFormat="1" applyFont="1" applyFill="1" applyBorder="1" applyAlignment="1">
      <alignment horizontal="center"/>
    </xf>
    <xf numFmtId="0" fontId="5" fillId="16" borderId="1" xfId="1" applyFont="1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 vertical="center"/>
    </xf>
    <xf numFmtId="0" fontId="5" fillId="9" borderId="3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shrinkToFit="1"/>
    </xf>
    <xf numFmtId="0" fontId="5" fillId="2" borderId="1" xfId="0" quotePrefix="1" applyFont="1" applyFill="1" applyBorder="1" applyAlignment="1" applyProtection="1">
      <alignment horizontal="center" vertical="center"/>
      <protection locked="0"/>
    </xf>
    <xf numFmtId="0" fontId="23" fillId="2" borderId="58" xfId="0" applyFont="1" applyFill="1" applyBorder="1" applyAlignment="1">
      <alignment horizontal="center" vertical="center"/>
    </xf>
    <xf numFmtId="0" fontId="23" fillId="2" borderId="53" xfId="0" applyFont="1" applyFill="1" applyBorder="1" applyAlignment="1">
      <alignment horizontal="center" vertical="center"/>
    </xf>
    <xf numFmtId="0" fontId="85" fillId="2" borderId="6" xfId="0" applyFont="1" applyFill="1" applyBorder="1" applyAlignment="1">
      <alignment horizontal="center" vertical="center"/>
    </xf>
    <xf numFmtId="0" fontId="86" fillId="2" borderId="60" xfId="0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23" fillId="2" borderId="2" xfId="0" applyFont="1" applyFill="1" applyBorder="1" applyAlignment="1" applyProtection="1">
      <alignment horizontal="center" vertical="center"/>
      <protection locked="0"/>
    </xf>
    <xf numFmtId="0" fontId="84" fillId="2" borderId="60" xfId="0" applyFont="1" applyFill="1" applyBorder="1" applyAlignment="1">
      <alignment horizontal="center" vertical="center"/>
    </xf>
    <xf numFmtId="0" fontId="53" fillId="2" borderId="0" xfId="0" applyFont="1" applyFill="1">
      <alignment vertical="center"/>
    </xf>
    <xf numFmtId="0" fontId="5" fillId="2" borderId="46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89" fillId="5" borderId="0" xfId="2" applyFont="1" applyFill="1" applyAlignment="1">
      <alignment vertical="top"/>
    </xf>
    <xf numFmtId="0" fontId="11" fillId="5" borderId="0" xfId="2" applyFill="1" applyAlignment="1">
      <alignment vertical="top"/>
    </xf>
    <xf numFmtId="0" fontId="44" fillId="4" borderId="0" xfId="0" applyFont="1" applyFill="1" applyAlignment="1">
      <alignment horizontal="center" vertical="center" wrapText="1"/>
    </xf>
    <xf numFmtId="0" fontId="44" fillId="4" borderId="7" xfId="0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48" fillId="4" borderId="0" xfId="0" applyFont="1" applyFill="1" applyAlignment="1">
      <alignment horizontal="center" vertical="center" wrapText="1"/>
    </xf>
    <xf numFmtId="0" fontId="48" fillId="4" borderId="28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left" vertical="center"/>
    </xf>
    <xf numFmtId="0" fontId="76" fillId="2" borderId="5" xfId="1" applyFont="1" applyFill="1" applyBorder="1" applyAlignment="1">
      <alignment horizontal="center" vertical="center"/>
    </xf>
    <xf numFmtId="0" fontId="76" fillId="2" borderId="0" xfId="1" applyFont="1" applyFill="1" applyAlignment="1">
      <alignment horizontal="center" vertical="center"/>
    </xf>
    <xf numFmtId="0" fontId="75" fillId="2" borderId="2" xfId="0" applyFont="1" applyFill="1" applyBorder="1" applyAlignment="1">
      <alignment horizontal="center" vertical="center"/>
    </xf>
    <xf numFmtId="0" fontId="75" fillId="2" borderId="3" xfId="0" applyFont="1" applyFill="1" applyBorder="1" applyAlignment="1">
      <alignment horizontal="center" vertical="center"/>
    </xf>
    <xf numFmtId="0" fontId="75" fillId="2" borderId="4" xfId="0" applyFont="1" applyFill="1" applyBorder="1" applyAlignment="1">
      <alignment horizontal="center" vertical="center"/>
    </xf>
    <xf numFmtId="0" fontId="75" fillId="2" borderId="2" xfId="0" applyFont="1" applyFill="1" applyBorder="1" applyAlignment="1" applyProtection="1">
      <alignment horizontal="center" vertical="center"/>
      <protection locked="0"/>
    </xf>
    <xf numFmtId="0" fontId="75" fillId="2" borderId="3" xfId="0" applyFont="1" applyFill="1" applyBorder="1" applyAlignment="1" applyProtection="1">
      <alignment horizontal="center" vertical="center"/>
      <protection locked="0"/>
    </xf>
    <xf numFmtId="0" fontId="75" fillId="2" borderId="4" xfId="0" applyFont="1" applyFill="1" applyBorder="1" applyAlignment="1" applyProtection="1">
      <alignment horizontal="center" vertical="center"/>
      <protection locked="0"/>
    </xf>
    <xf numFmtId="0" fontId="75" fillId="2" borderId="1" xfId="0" applyFont="1" applyFill="1" applyBorder="1" applyAlignment="1">
      <alignment horizontal="center" vertical="center"/>
    </xf>
    <xf numFmtId="0" fontId="75" fillId="2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8" xfId="0" applyFont="1" applyFill="1" applyBorder="1" applyAlignment="1" applyProtection="1">
      <alignment horizontal="center" vertical="center"/>
      <protection locked="0"/>
    </xf>
    <xf numFmtId="0" fontId="23" fillId="2" borderId="23" xfId="0" applyFont="1" applyFill="1" applyBorder="1" applyAlignment="1">
      <alignment horizontal="center" vertical="center"/>
    </xf>
    <xf numFmtId="0" fontId="23" fillId="2" borderId="42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0" borderId="39" xfId="0" quotePrefix="1" applyFont="1" applyBorder="1" applyAlignment="1">
      <alignment horizontal="center" vertical="center"/>
    </xf>
    <xf numFmtId="0" fontId="23" fillId="0" borderId="30" xfId="0" quotePrefix="1" applyFont="1" applyBorder="1" applyAlignment="1">
      <alignment horizontal="center" vertical="center"/>
    </xf>
    <xf numFmtId="0" fontId="23" fillId="0" borderId="41" xfId="0" quotePrefix="1" applyFont="1" applyBorder="1" applyAlignment="1">
      <alignment horizontal="center" vertical="center"/>
    </xf>
    <xf numFmtId="0" fontId="23" fillId="0" borderId="6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 applyProtection="1">
      <alignment horizontal="center" vertical="center"/>
      <protection locked="0"/>
    </xf>
    <xf numFmtId="0" fontId="23" fillId="0" borderId="42" xfId="0" applyFont="1" applyBorder="1" applyAlignment="1" applyProtection="1">
      <alignment horizontal="center" vertical="center"/>
      <protection locked="0"/>
    </xf>
    <xf numFmtId="0" fontId="23" fillId="0" borderId="24" xfId="0" applyFont="1" applyBorder="1" applyAlignment="1" applyProtection="1">
      <alignment horizontal="center" vertical="center"/>
      <protection locked="0"/>
    </xf>
    <xf numFmtId="0" fontId="24" fillId="8" borderId="34" xfId="0" applyFont="1" applyFill="1" applyBorder="1" applyAlignment="1" applyProtection="1">
      <alignment horizontal="center" vertical="center" shrinkToFit="1"/>
      <protection locked="0"/>
    </xf>
    <xf numFmtId="0" fontId="24" fillId="8" borderId="1" xfId="0" applyFont="1" applyFill="1" applyBorder="1" applyAlignment="1" applyProtection="1">
      <alignment horizontal="center" vertical="center" shrinkToFit="1"/>
      <protection locked="0"/>
    </xf>
    <xf numFmtId="0" fontId="24" fillId="8" borderId="35" xfId="0" applyFont="1" applyFill="1" applyBorder="1" applyAlignment="1" applyProtection="1">
      <alignment horizontal="center" vertical="center" shrinkToFit="1"/>
      <protection locked="0"/>
    </xf>
    <xf numFmtId="0" fontId="24" fillId="8" borderId="36" xfId="0" applyFont="1" applyFill="1" applyBorder="1" applyAlignment="1" applyProtection="1">
      <alignment horizontal="center" vertical="center" shrinkToFit="1"/>
      <protection locked="0"/>
    </xf>
    <xf numFmtId="0" fontId="24" fillId="8" borderId="37" xfId="0" applyFont="1" applyFill="1" applyBorder="1" applyAlignment="1" applyProtection="1">
      <alignment horizontal="center" vertical="center" shrinkToFit="1"/>
      <protection locked="0"/>
    </xf>
    <xf numFmtId="0" fontId="24" fillId="8" borderId="38" xfId="0" applyFont="1" applyFill="1" applyBorder="1" applyAlignment="1" applyProtection="1">
      <alignment horizontal="center" vertical="center" shrinkToFit="1"/>
      <protection locked="0"/>
    </xf>
    <xf numFmtId="0" fontId="23" fillId="2" borderId="53" xfId="0" applyFont="1" applyFill="1" applyBorder="1" applyAlignment="1" applyProtection="1">
      <alignment horizontal="center" vertical="center"/>
      <protection locked="0"/>
    </xf>
    <xf numFmtId="0" fontId="23" fillId="2" borderId="54" xfId="0" applyFont="1" applyFill="1" applyBorder="1" applyAlignment="1" applyProtection="1">
      <alignment horizontal="center" vertical="center"/>
      <protection locked="0"/>
    </xf>
    <xf numFmtId="177" fontId="23" fillId="8" borderId="53" xfId="0" applyNumberFormat="1" applyFont="1" applyFill="1" applyBorder="1" applyAlignment="1" applyProtection="1">
      <alignment horizontal="center" vertical="center"/>
      <protection locked="0"/>
    </xf>
    <xf numFmtId="177" fontId="23" fillId="8" borderId="54" xfId="0" applyNumberFormat="1" applyFont="1" applyFill="1" applyBorder="1" applyAlignment="1" applyProtection="1">
      <alignment horizontal="center" vertical="center"/>
      <protection locked="0"/>
    </xf>
    <xf numFmtId="0" fontId="51" fillId="2" borderId="59" xfId="0" applyFont="1" applyFill="1" applyBorder="1" applyAlignment="1" applyProtection="1">
      <alignment horizontal="left" vertical="center"/>
      <protection locked="0"/>
    </xf>
    <xf numFmtId="0" fontId="5" fillId="2" borderId="1" xfId="0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/>
    </xf>
    <xf numFmtId="0" fontId="24" fillId="2" borderId="13" xfId="0" applyFont="1" applyFill="1" applyBorder="1" applyAlignment="1">
      <alignment horizontal="center" vertical="center"/>
    </xf>
    <xf numFmtId="0" fontId="24" fillId="2" borderId="14" xfId="0" applyFont="1" applyFill="1" applyBorder="1" applyAlignment="1">
      <alignment horizontal="center" vertical="center"/>
    </xf>
    <xf numFmtId="0" fontId="23" fillId="2" borderId="30" xfId="0" quotePrefix="1" applyFont="1" applyFill="1" applyBorder="1" applyAlignment="1">
      <alignment horizontal="center" vertical="center"/>
    </xf>
    <xf numFmtId="0" fontId="23" fillId="2" borderId="3" xfId="0" quotePrefix="1" applyFont="1" applyFill="1" applyBorder="1" applyAlignment="1">
      <alignment horizontal="center" vertical="center"/>
    </xf>
    <xf numFmtId="0" fontId="23" fillId="2" borderId="55" xfId="0" quotePrefix="1" applyFont="1" applyFill="1" applyBorder="1" applyAlignment="1">
      <alignment horizontal="center" vertical="center"/>
    </xf>
    <xf numFmtId="0" fontId="23" fillId="8" borderId="30" xfId="0" quotePrefix="1" applyFont="1" applyFill="1" applyBorder="1" applyAlignment="1" applyProtection="1">
      <alignment horizontal="center" vertical="center"/>
      <protection locked="0"/>
    </xf>
    <xf numFmtId="0" fontId="23" fillId="8" borderId="30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>
      <alignment horizontal="center" vertical="center"/>
    </xf>
    <xf numFmtId="0" fontId="5" fillId="2" borderId="60" xfId="0" applyFont="1" applyFill="1" applyBorder="1" applyAlignment="1">
      <alignment horizontal="center" vertical="center"/>
    </xf>
    <xf numFmtId="0" fontId="23" fillId="8" borderId="20" xfId="0" applyFont="1" applyFill="1" applyBorder="1" applyAlignment="1" applyProtection="1">
      <alignment horizontal="left" vertical="center" shrinkToFit="1"/>
      <protection locked="0"/>
    </xf>
    <xf numFmtId="0" fontId="23" fillId="8" borderId="53" xfId="0" applyFont="1" applyFill="1" applyBorder="1" applyAlignment="1" applyProtection="1">
      <alignment horizontal="left" vertical="center" shrinkToFit="1"/>
      <protection locked="0"/>
    </xf>
    <xf numFmtId="0" fontId="23" fillId="2" borderId="53" xfId="0" applyFont="1" applyFill="1" applyBorder="1" applyAlignment="1">
      <alignment horizontal="right" vertical="center" shrinkToFit="1"/>
    </xf>
    <xf numFmtId="0" fontId="23" fillId="2" borderId="47" xfId="0" applyFont="1" applyFill="1" applyBorder="1" applyAlignment="1">
      <alignment horizontal="right" vertical="center" shrinkToFit="1"/>
    </xf>
    <xf numFmtId="0" fontId="26" fillId="2" borderId="0" xfId="0" applyFont="1" applyFill="1" applyAlignment="1">
      <alignment horizontal="left" vertical="center"/>
    </xf>
    <xf numFmtId="0" fontId="23" fillId="2" borderId="43" xfId="0" applyFont="1" applyFill="1" applyBorder="1" applyAlignment="1">
      <alignment horizontal="center" vertical="center"/>
    </xf>
    <xf numFmtId="0" fontId="23" fillId="2" borderId="41" xfId="0" applyFont="1" applyFill="1" applyBorder="1" applyAlignment="1">
      <alignment horizontal="center" vertical="center"/>
    </xf>
    <xf numFmtId="0" fontId="23" fillId="2" borderId="54" xfId="0" applyFont="1" applyFill="1" applyBorder="1" applyAlignment="1">
      <alignment horizontal="right" vertical="center" shrinkToFit="1"/>
    </xf>
    <xf numFmtId="0" fontId="23" fillId="2" borderId="21" xfId="0" applyFont="1" applyFill="1" applyBorder="1" applyAlignment="1">
      <alignment horizontal="right" vertical="center" shrinkToFit="1"/>
    </xf>
    <xf numFmtId="0" fontId="23" fillId="8" borderId="24" xfId="0" applyFont="1" applyFill="1" applyBorder="1" applyAlignment="1" applyProtection="1">
      <alignment horizontal="left" vertical="center" shrinkToFit="1"/>
      <protection locked="0"/>
    </xf>
    <xf numFmtId="0" fontId="23" fillId="8" borderId="54" xfId="0" applyFont="1" applyFill="1" applyBorder="1" applyAlignment="1" applyProtection="1">
      <alignment horizontal="left" vertical="center" shrinkToFit="1"/>
      <protection locked="0"/>
    </xf>
    <xf numFmtId="0" fontId="12" fillId="5" borderId="59" xfId="0" quotePrefix="1" applyFont="1" applyFill="1" applyBorder="1" applyAlignment="1" applyProtection="1">
      <alignment horizontal="left" vertical="center"/>
      <protection locked="0"/>
    </xf>
    <xf numFmtId="0" fontId="12" fillId="5" borderId="59" xfId="0" applyFont="1" applyFill="1" applyBorder="1" applyAlignment="1" applyProtection="1">
      <alignment horizontal="left" vertical="center"/>
      <protection locked="0"/>
    </xf>
    <xf numFmtId="0" fontId="5" fillId="2" borderId="0" xfId="0" applyFont="1" applyFill="1" applyAlignment="1">
      <alignment horizontal="center" vertical="center"/>
    </xf>
    <xf numFmtId="0" fontId="23" fillId="2" borderId="30" xfId="0" applyFont="1" applyFill="1" applyBorder="1" applyAlignment="1">
      <alignment horizontal="center" vertical="center"/>
    </xf>
    <xf numFmtId="0" fontId="23" fillId="2" borderId="40" xfId="0" applyFont="1" applyFill="1" applyBorder="1" applyAlignment="1">
      <alignment horizontal="center" vertical="center"/>
    </xf>
    <xf numFmtId="0" fontId="23" fillId="2" borderId="21" xfId="0" applyFont="1" applyFill="1" applyBorder="1" applyAlignment="1">
      <alignment horizontal="center" vertical="center"/>
    </xf>
    <xf numFmtId="0" fontId="23" fillId="2" borderId="27" xfId="0" applyFont="1" applyFill="1" applyBorder="1" applyAlignment="1">
      <alignment horizontal="left" vertical="center"/>
    </xf>
    <xf numFmtId="0" fontId="23" fillId="2" borderId="29" xfId="0" applyFont="1" applyFill="1" applyBorder="1" applyAlignment="1">
      <alignment horizontal="left" vertical="center"/>
    </xf>
    <xf numFmtId="0" fontId="23" fillId="2" borderId="13" xfId="0" applyFont="1" applyFill="1" applyBorder="1" applyAlignment="1">
      <alignment horizontal="right" vertical="center"/>
    </xf>
    <xf numFmtId="0" fontId="23" fillId="2" borderId="17" xfId="0" applyFont="1" applyFill="1" applyBorder="1" applyAlignment="1">
      <alignment horizontal="right" vertical="center"/>
    </xf>
    <xf numFmtId="0" fontId="25" fillId="2" borderId="0" xfId="0" applyFont="1" applyFill="1" applyAlignment="1">
      <alignment horizontal="left" vertical="center"/>
    </xf>
    <xf numFmtId="0" fontId="23" fillId="2" borderId="39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18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quotePrefix="1" applyFont="1" applyBorder="1" applyAlignment="1">
      <alignment horizontal="center" vertical="center"/>
    </xf>
    <xf numFmtId="0" fontId="23" fillId="0" borderId="42" xfId="0" quotePrefix="1" applyFont="1" applyBorder="1" applyAlignment="1">
      <alignment horizontal="center" vertical="center"/>
    </xf>
    <xf numFmtId="0" fontId="23" fillId="0" borderId="22" xfId="0" quotePrefix="1" applyFont="1" applyBorder="1" applyAlignment="1">
      <alignment horizontal="center" vertical="center"/>
    </xf>
    <xf numFmtId="0" fontId="26" fillId="2" borderId="28" xfId="0" applyFont="1" applyFill="1" applyBorder="1" applyAlignment="1">
      <alignment horizontal="left" vertical="center"/>
    </xf>
    <xf numFmtId="0" fontId="23" fillId="0" borderId="7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" xfId="0" applyFont="1" applyBorder="1" applyAlignment="1" applyProtection="1">
      <alignment horizontal="center" vertical="center"/>
      <protection locked="0"/>
    </xf>
    <xf numFmtId="0" fontId="36" fillId="5" borderId="0" xfId="2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23" fillId="8" borderId="7" xfId="0" applyFont="1" applyFill="1" applyBorder="1" applyAlignment="1" applyProtection="1">
      <alignment horizontal="center" vertical="center"/>
      <protection locked="0"/>
    </xf>
    <xf numFmtId="0" fontId="24" fillId="2" borderId="47" xfId="0" applyFont="1" applyFill="1" applyBorder="1" applyAlignment="1">
      <alignment horizontal="center" vertical="center" shrinkToFit="1"/>
    </xf>
    <xf numFmtId="0" fontId="24" fillId="2" borderId="3" xfId="0" applyFont="1" applyFill="1" applyBorder="1" applyAlignment="1">
      <alignment horizontal="center" vertical="center" shrinkToFit="1"/>
    </xf>
    <xf numFmtId="0" fontId="24" fillId="2" borderId="20" xfId="0" applyFont="1" applyFill="1" applyBorder="1" applyAlignment="1">
      <alignment horizontal="center" vertical="center" shrinkToFit="1"/>
    </xf>
    <xf numFmtId="0" fontId="24" fillId="2" borderId="21" xfId="0" applyFont="1" applyFill="1" applyBorder="1" applyAlignment="1">
      <alignment horizontal="center" vertical="center" shrinkToFit="1"/>
    </xf>
    <xf numFmtId="0" fontId="24" fillId="2" borderId="42" xfId="0" applyFont="1" applyFill="1" applyBorder="1" applyAlignment="1">
      <alignment horizontal="center" vertical="center" shrinkToFit="1"/>
    </xf>
    <xf numFmtId="0" fontId="24" fillId="2" borderId="24" xfId="0" applyFont="1" applyFill="1" applyBorder="1" applyAlignment="1">
      <alignment horizontal="center" vertical="center" shrinkToFit="1"/>
    </xf>
    <xf numFmtId="0" fontId="23" fillId="8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5" fillId="2" borderId="9" xfId="0" applyFont="1" applyFill="1" applyBorder="1" applyAlignment="1">
      <alignment horizontal="left" vertical="center"/>
    </xf>
    <xf numFmtId="0" fontId="25" fillId="2" borderId="11" xfId="0" applyFont="1" applyFill="1" applyBorder="1" applyAlignment="1">
      <alignment horizontal="left" vertical="center"/>
    </xf>
    <xf numFmtId="0" fontId="25" fillId="2" borderId="12" xfId="0" applyFont="1" applyFill="1" applyBorder="1" applyAlignment="1">
      <alignment horizontal="left" vertical="center"/>
    </xf>
    <xf numFmtId="0" fontId="24" fillId="2" borderId="31" xfId="0" quotePrefix="1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center" vertical="center"/>
    </xf>
    <xf numFmtId="0" fontId="24" fillId="2" borderId="33" xfId="0" applyFont="1" applyFill="1" applyBorder="1" applyAlignment="1">
      <alignment horizontal="center" vertical="center"/>
    </xf>
    <xf numFmtId="0" fontId="24" fillId="8" borderId="34" xfId="0" quotePrefix="1" applyFont="1" applyFill="1" applyBorder="1" applyAlignment="1" applyProtection="1">
      <alignment horizontal="center" vertical="center"/>
      <protection locked="0"/>
    </xf>
    <xf numFmtId="0" fontId="24" fillId="8" borderId="1" xfId="0" applyFont="1" applyFill="1" applyBorder="1" applyAlignment="1" applyProtection="1">
      <alignment horizontal="center" vertical="center"/>
      <protection locked="0"/>
    </xf>
    <xf numFmtId="0" fontId="24" fillId="8" borderId="35" xfId="0" applyFont="1" applyFill="1" applyBorder="1" applyAlignment="1" applyProtection="1">
      <alignment horizontal="center" vertical="center"/>
      <protection locked="0"/>
    </xf>
    <xf numFmtId="0" fontId="24" fillId="2" borderId="31" xfId="0" applyFont="1" applyFill="1" applyBorder="1" applyAlignment="1">
      <alignment horizontal="center" vertical="center"/>
    </xf>
    <xf numFmtId="0" fontId="24" fillId="2" borderId="34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center" vertical="center"/>
    </xf>
    <xf numFmtId="20" fontId="23" fillId="8" borderId="7" xfId="0" quotePrefix="1" applyNumberFormat="1" applyFont="1" applyFill="1" applyBorder="1" applyAlignment="1" applyProtection="1">
      <alignment horizontal="center" vertical="center"/>
      <protection locked="0"/>
    </xf>
    <xf numFmtId="49" fontId="23" fillId="8" borderId="7" xfId="0" applyNumberFormat="1" applyFont="1" applyFill="1" applyBorder="1" applyAlignment="1" applyProtection="1">
      <alignment horizontal="center" vertical="center"/>
      <protection locked="0"/>
    </xf>
    <xf numFmtId="0" fontId="23" fillId="8" borderId="3" xfId="0" quotePrefix="1" applyFont="1" applyFill="1" applyBorder="1" applyAlignment="1" applyProtection="1">
      <alignment horizontal="center" vertical="center"/>
      <protection locked="0"/>
    </xf>
    <xf numFmtId="0" fontId="23" fillId="8" borderId="42" xfId="0" quotePrefix="1" applyFont="1" applyFill="1" applyBorder="1" applyAlignment="1" applyProtection="1">
      <alignment horizontal="center" vertical="center"/>
      <protection locked="0"/>
    </xf>
    <xf numFmtId="0" fontId="23" fillId="8" borderId="42" xfId="0" applyFont="1" applyFill="1" applyBorder="1" applyAlignment="1" applyProtection="1">
      <alignment horizontal="center" vertical="center"/>
      <protection locked="0"/>
    </xf>
    <xf numFmtId="0" fontId="23" fillId="2" borderId="14" xfId="0" applyFont="1" applyFill="1" applyBorder="1" applyAlignment="1">
      <alignment horizontal="center" vertical="center"/>
    </xf>
    <xf numFmtId="0" fontId="68" fillId="2" borderId="59" xfId="0" applyFont="1" applyFill="1" applyBorder="1" applyAlignment="1" applyProtection="1">
      <alignment horizontal="left" vertical="center"/>
      <protection locked="0"/>
    </xf>
    <xf numFmtId="0" fontId="69" fillId="2" borderId="59" xfId="0" applyFont="1" applyFill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horizontal="center" vertical="center"/>
    </xf>
    <xf numFmtId="0" fontId="24" fillId="8" borderId="0" xfId="0" applyFont="1" applyFill="1" applyAlignment="1" applyProtection="1">
      <alignment horizontal="left" vertical="center" wrapText="1"/>
      <protection locked="0"/>
    </xf>
    <xf numFmtId="0" fontId="24" fillId="2" borderId="25" xfId="0" applyFont="1" applyFill="1" applyBorder="1" applyAlignment="1">
      <alignment horizontal="center" vertical="center"/>
    </xf>
    <xf numFmtId="0" fontId="24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>
      <alignment horizontal="center" vertical="center" wrapText="1"/>
    </xf>
    <xf numFmtId="0" fontId="24" fillId="2" borderId="27" xfId="0" applyFont="1" applyFill="1" applyBorder="1" applyAlignment="1">
      <alignment horizontal="center" vertical="center" wrapText="1"/>
    </xf>
    <xf numFmtId="0" fontId="24" fillId="2" borderId="28" xfId="0" applyFont="1" applyFill="1" applyBorder="1" applyAlignment="1">
      <alignment horizontal="center" vertical="center" wrapText="1"/>
    </xf>
    <xf numFmtId="0" fontId="24" fillId="2" borderId="29" xfId="0" applyFont="1" applyFill="1" applyBorder="1" applyAlignment="1">
      <alignment horizontal="center" vertical="center" wrapText="1"/>
    </xf>
    <xf numFmtId="0" fontId="23" fillId="2" borderId="58" xfId="0" quotePrefix="1" applyFont="1" applyFill="1" applyBorder="1" applyAlignment="1">
      <alignment horizontal="center" vertical="center"/>
    </xf>
    <xf numFmtId="177" fontId="23" fillId="8" borderId="53" xfId="0" quotePrefix="1" applyNumberFormat="1" applyFont="1" applyFill="1" applyBorder="1" applyAlignment="1" applyProtection="1">
      <alignment horizontal="center" vertical="center"/>
      <protection locked="0"/>
    </xf>
    <xf numFmtId="0" fontId="24" fillId="2" borderId="52" xfId="0" applyFont="1" applyFill="1" applyBorder="1" applyAlignment="1">
      <alignment horizontal="center" vertical="center"/>
    </xf>
    <xf numFmtId="0" fontId="24" fillId="2" borderId="80" xfId="0" applyFont="1" applyFill="1" applyBorder="1" applyAlignment="1">
      <alignment horizontal="center" vertical="center"/>
    </xf>
    <xf numFmtId="0" fontId="23" fillId="2" borderId="58" xfId="0" applyFont="1" applyFill="1" applyBorder="1" applyAlignment="1">
      <alignment horizontal="center" vertical="center"/>
    </xf>
    <xf numFmtId="0" fontId="23" fillId="2" borderId="53" xfId="0" applyFont="1" applyFill="1" applyBorder="1" applyAlignment="1">
      <alignment horizontal="center" vertical="center"/>
    </xf>
    <xf numFmtId="0" fontId="23" fillId="8" borderId="79" xfId="0" applyFont="1" applyFill="1" applyBorder="1" applyAlignment="1" applyProtection="1">
      <alignment horizontal="left" vertical="center" shrinkToFit="1"/>
      <protection locked="0"/>
    </xf>
    <xf numFmtId="0" fontId="23" fillId="8" borderId="76" xfId="0" applyFont="1" applyFill="1" applyBorder="1" applyAlignment="1" applyProtection="1">
      <alignment horizontal="left" vertical="center" shrinkToFit="1"/>
      <protection locked="0"/>
    </xf>
    <xf numFmtId="0" fontId="23" fillId="8" borderId="3" xfId="0" applyFont="1" applyFill="1" applyBorder="1" applyAlignment="1" applyProtection="1">
      <alignment horizontal="left" vertical="center" shrinkToFit="1"/>
      <protection locked="0"/>
    </xf>
    <xf numFmtId="0" fontId="24" fillId="2" borderId="17" xfId="0" applyFont="1" applyFill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24" fillId="2" borderId="28" xfId="0" applyFont="1" applyFill="1" applyBorder="1" applyAlignment="1">
      <alignment horizontal="center" vertical="center"/>
    </xf>
    <xf numFmtId="0" fontId="24" fillId="2" borderId="29" xfId="0" applyFont="1" applyFill="1" applyBorder="1" applyAlignment="1">
      <alignment horizontal="center" vertical="center"/>
    </xf>
    <xf numFmtId="0" fontId="23" fillId="8" borderId="20" xfId="0" applyFont="1" applyFill="1" applyBorder="1" applyAlignment="1">
      <alignment horizontal="left" vertical="center" shrinkToFit="1"/>
    </xf>
    <xf numFmtId="0" fontId="23" fillId="8" borderId="53" xfId="0" applyFont="1" applyFill="1" applyBorder="1" applyAlignment="1">
      <alignment horizontal="left" vertical="center" shrinkToFit="1"/>
    </xf>
    <xf numFmtId="0" fontId="23" fillId="2" borderId="58" xfId="0" applyFont="1" applyFill="1" applyBorder="1" applyAlignment="1" applyProtection="1">
      <alignment horizontal="center" vertical="center"/>
      <protection locked="0"/>
    </xf>
    <xf numFmtId="0" fontId="5" fillId="9" borderId="52" xfId="0" applyFont="1" applyFill="1" applyBorder="1" applyAlignment="1">
      <alignment horizontal="center" vertical="center"/>
    </xf>
    <xf numFmtId="0" fontId="5" fillId="9" borderId="61" xfId="0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9" borderId="33" xfId="0" applyFont="1" applyFill="1" applyBorder="1" applyAlignment="1">
      <alignment horizontal="center" vertical="center"/>
    </xf>
    <xf numFmtId="0" fontId="5" fillId="9" borderId="43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5" fillId="9" borderId="41" xfId="0" applyFont="1" applyFill="1" applyBorder="1" applyAlignment="1">
      <alignment horizontal="center" vertical="center"/>
    </xf>
    <xf numFmtId="0" fontId="46" fillId="10" borderId="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3" xfId="0" applyFont="1" applyFill="1" applyBorder="1" applyAlignment="1">
      <alignment horizontal="center" vertical="center"/>
    </xf>
    <xf numFmtId="0" fontId="12" fillId="2" borderId="1" xfId="4" applyFont="1" applyFill="1" applyBorder="1" applyAlignment="1">
      <alignment horizontal="left" vertical="center"/>
    </xf>
    <xf numFmtId="181" fontId="11" fillId="2" borderId="1" xfId="7" applyNumberFormat="1" applyFont="1" applyFill="1" applyBorder="1" applyAlignment="1">
      <alignment horizontal="center" vertical="center"/>
    </xf>
    <xf numFmtId="0" fontId="51" fillId="0" borderId="31" xfId="4" applyFont="1" applyBorder="1" applyAlignment="1">
      <alignment horizontal="center" vertical="center" wrapText="1"/>
    </xf>
    <xf numFmtId="0" fontId="51" fillId="0" borderId="64" xfId="4" applyFont="1" applyBorder="1" applyAlignment="1">
      <alignment horizontal="center" vertical="center" wrapText="1"/>
    </xf>
    <xf numFmtId="188" fontId="42" fillId="12" borderId="48" xfId="4" quotePrefix="1" applyNumberFormat="1" applyFont="1" applyFill="1" applyBorder="1" applyAlignment="1">
      <alignment horizontal="center" vertical="center" shrinkToFit="1"/>
    </xf>
    <xf numFmtId="185" fontId="64" fillId="2" borderId="48" xfId="4" applyNumberFormat="1" applyFont="1" applyFill="1" applyBorder="1" applyAlignment="1">
      <alignment horizontal="center" vertical="center"/>
    </xf>
    <xf numFmtId="189" fontId="42" fillId="2" borderId="6" xfId="6" applyNumberFormat="1" applyFont="1" applyFill="1" applyBorder="1" applyAlignment="1" applyProtection="1">
      <alignment horizontal="center" vertical="center"/>
    </xf>
    <xf numFmtId="189" fontId="42" fillId="2" borderId="8" xfId="6" applyNumberFormat="1" applyFont="1" applyFill="1" applyBorder="1" applyAlignment="1" applyProtection="1">
      <alignment horizontal="center" vertical="center"/>
    </xf>
    <xf numFmtId="188" fontId="42" fillId="13" borderId="62" xfId="4" applyNumberFormat="1" applyFont="1" applyFill="1" applyBorder="1" applyAlignment="1">
      <alignment horizontal="center" vertical="center"/>
    </xf>
    <xf numFmtId="188" fontId="42" fillId="13" borderId="48" xfId="4" applyNumberFormat="1" applyFont="1" applyFill="1" applyBorder="1" applyAlignment="1">
      <alignment horizontal="center" vertical="center"/>
    </xf>
    <xf numFmtId="0" fontId="80" fillId="2" borderId="0" xfId="0" applyFont="1" applyFill="1" applyAlignment="1">
      <alignment horizontal="left" vertical="center" wrapText="1"/>
    </xf>
    <xf numFmtId="0" fontId="51" fillId="0" borderId="33" xfId="4" applyFont="1" applyBorder="1" applyAlignment="1">
      <alignment horizontal="center" vertical="center" wrapText="1"/>
    </xf>
    <xf numFmtId="0" fontId="51" fillId="0" borderId="63" xfId="4" applyFont="1" applyBorder="1" applyAlignment="1">
      <alignment horizontal="center" vertical="center" wrapText="1"/>
    </xf>
    <xf numFmtId="0" fontId="66" fillId="0" borderId="0" xfId="4" applyFont="1" applyAlignment="1">
      <alignment horizontal="center" vertical="center"/>
    </xf>
    <xf numFmtId="0" fontId="65" fillId="0" borderId="0" xfId="4" applyFont="1" applyAlignment="1">
      <alignment horizontal="center" vertical="center"/>
    </xf>
    <xf numFmtId="0" fontId="36" fillId="2" borderId="0" xfId="4" applyFont="1" applyFill="1" applyAlignment="1">
      <alignment horizontal="center" vertical="center"/>
    </xf>
    <xf numFmtId="0" fontId="78" fillId="2" borderId="7" xfId="4" applyFont="1" applyFill="1" applyBorder="1" applyAlignment="1">
      <alignment horizontal="left" vertical="center"/>
    </xf>
    <xf numFmtId="0" fontId="42" fillId="2" borderId="7" xfId="4" applyFont="1" applyFill="1" applyBorder="1" applyAlignment="1">
      <alignment horizontal="left" vertical="center"/>
    </xf>
    <xf numFmtId="0" fontId="54" fillId="0" borderId="13" xfId="4" applyFont="1" applyBorder="1" applyAlignment="1">
      <alignment horizontal="center" vertical="center" wrapText="1"/>
    </xf>
    <xf numFmtId="0" fontId="54" fillId="0" borderId="17" xfId="4" applyFont="1" applyBorder="1" applyAlignment="1">
      <alignment horizontal="center" vertical="center" wrapText="1"/>
    </xf>
    <xf numFmtId="0" fontId="54" fillId="0" borderId="70" xfId="4" applyFont="1" applyBorder="1" applyAlignment="1">
      <alignment horizontal="center" vertical="center" wrapText="1"/>
    </xf>
    <xf numFmtId="0" fontId="54" fillId="0" borderId="65" xfId="4" applyFont="1" applyBorder="1" applyAlignment="1">
      <alignment horizontal="center" vertical="center" wrapText="1"/>
    </xf>
    <xf numFmtId="0" fontId="54" fillId="0" borderId="31" xfId="4" applyFont="1" applyBorder="1" applyAlignment="1">
      <alignment horizontal="center" vertical="center" wrapText="1"/>
    </xf>
    <xf numFmtId="0" fontId="42" fillId="0" borderId="32" xfId="4" applyFont="1" applyBorder="1" applyAlignment="1">
      <alignment horizontal="center" vertical="center"/>
    </xf>
    <xf numFmtId="0" fontId="54" fillId="0" borderId="32" xfId="4" applyFont="1" applyBorder="1" applyAlignment="1">
      <alignment horizontal="center" vertical="center" wrapText="1"/>
    </xf>
    <xf numFmtId="0" fontId="42" fillId="0" borderId="32" xfId="4" applyFont="1" applyBorder="1" applyAlignment="1">
      <alignment horizontal="center" vertical="center" wrapText="1"/>
    </xf>
    <xf numFmtId="14" fontId="42" fillId="2" borderId="32" xfId="4" applyNumberFormat="1" applyFont="1" applyFill="1" applyBorder="1" applyAlignment="1">
      <alignment horizontal="center" vertical="center" shrinkToFit="1"/>
    </xf>
    <xf numFmtId="14" fontId="42" fillId="2" borderId="66" xfId="4" applyNumberFormat="1" applyFont="1" applyFill="1" applyBorder="1" applyAlignment="1">
      <alignment horizontal="center" vertical="center" shrinkToFit="1"/>
    </xf>
    <xf numFmtId="14" fontId="42" fillId="2" borderId="17" xfId="4" applyNumberFormat="1" applyFont="1" applyFill="1" applyBorder="1" applyAlignment="1">
      <alignment horizontal="center" vertical="center" shrinkToFit="1"/>
    </xf>
    <xf numFmtId="14" fontId="42" fillId="2" borderId="65" xfId="4" applyNumberFormat="1" applyFont="1" applyFill="1" applyBorder="1" applyAlignment="1">
      <alignment horizontal="center" vertical="center" shrinkToFit="1"/>
    </xf>
    <xf numFmtId="185" fontId="42" fillId="0" borderId="64" xfId="4" applyNumberFormat="1" applyFont="1" applyBorder="1" applyAlignment="1">
      <alignment horizontal="center" vertical="center"/>
    </xf>
    <xf numFmtId="185" fontId="42" fillId="0" borderId="66" xfId="4" applyNumberFormat="1" applyFont="1" applyBorder="1" applyAlignment="1">
      <alignment horizontal="center" vertical="center"/>
    </xf>
    <xf numFmtId="0" fontId="42" fillId="0" borderId="66" xfId="4" applyFont="1" applyBorder="1" applyAlignment="1">
      <alignment horizontal="center" vertical="center"/>
    </xf>
    <xf numFmtId="188" fontId="42" fillId="13" borderId="73" xfId="4" applyNumberFormat="1" applyFont="1" applyFill="1" applyBorder="1" applyAlignment="1">
      <alignment horizontal="center" vertical="center"/>
    </xf>
    <xf numFmtId="188" fontId="42" fillId="13" borderId="74" xfId="4" applyNumberFormat="1" applyFont="1" applyFill="1" applyBorder="1" applyAlignment="1">
      <alignment horizontal="center" vertical="center"/>
    </xf>
    <xf numFmtId="188" fontId="42" fillId="12" borderId="74" xfId="4" quotePrefix="1" applyNumberFormat="1" applyFont="1" applyFill="1" applyBorder="1" applyAlignment="1">
      <alignment horizontal="center" vertical="center" shrinkToFit="1"/>
    </xf>
    <xf numFmtId="185" fontId="64" fillId="2" borderId="37" xfId="4" applyNumberFormat="1" applyFont="1" applyFill="1" applyBorder="1" applyAlignment="1">
      <alignment horizontal="center" vertical="center"/>
    </xf>
    <xf numFmtId="189" fontId="42" fillId="2" borderId="49" xfId="6" applyNumberFormat="1" applyFont="1" applyFill="1" applyBorder="1" applyAlignment="1" applyProtection="1">
      <alignment horizontal="center" vertical="center"/>
    </xf>
    <xf numFmtId="189" fontId="42" fillId="2" borderId="50" xfId="6" applyNumberFormat="1" applyFont="1" applyFill="1" applyBorder="1" applyAlignment="1" applyProtection="1">
      <alignment horizontal="center" vertical="center"/>
    </xf>
    <xf numFmtId="0" fontId="61" fillId="2" borderId="28" xfId="0" applyFont="1" applyFill="1" applyBorder="1" applyAlignment="1">
      <alignment horizontal="center" vertical="top"/>
    </xf>
    <xf numFmtId="0" fontId="62" fillId="2" borderId="0" xfId="0" applyFont="1" applyFill="1" applyAlignment="1">
      <alignment horizontal="right"/>
    </xf>
    <xf numFmtId="181" fontId="11" fillId="2" borderId="1" xfId="4" applyNumberFormat="1" applyFont="1" applyFill="1" applyBorder="1" applyAlignment="1">
      <alignment horizontal="center" vertical="center" wrapText="1"/>
    </xf>
    <xf numFmtId="0" fontId="12" fillId="2" borderId="1" xfId="4" applyFont="1" applyFill="1" applyBorder="1" applyAlignment="1">
      <alignment horizontal="center" vertical="center"/>
    </xf>
    <xf numFmtId="0" fontId="12" fillId="2" borderId="2" xfId="4" applyFont="1" applyFill="1" applyBorder="1" applyAlignment="1">
      <alignment horizontal="left" vertical="center"/>
    </xf>
    <xf numFmtId="0" fontId="12" fillId="2" borderId="3" xfId="4" applyFont="1" applyFill="1" applyBorder="1" applyAlignment="1">
      <alignment horizontal="left" vertical="center"/>
    </xf>
    <xf numFmtId="0" fontId="12" fillId="2" borderId="4" xfId="4" applyFont="1" applyFill="1" applyBorder="1" applyAlignment="1">
      <alignment horizontal="left" vertical="center"/>
    </xf>
    <xf numFmtId="0" fontId="60" fillId="5" borderId="0" xfId="2" applyFont="1" applyFill="1" applyAlignment="1">
      <alignment horizontal="center" vertical="center"/>
    </xf>
    <xf numFmtId="0" fontId="42" fillId="5" borderId="7" xfId="2" applyFont="1" applyFill="1" applyBorder="1" applyAlignment="1">
      <alignment horizontal="center" vertical="center"/>
    </xf>
    <xf numFmtId="0" fontId="12" fillId="5" borderId="7" xfId="2" applyFont="1" applyFill="1" applyBorder="1" applyAlignment="1" applyProtection="1">
      <alignment horizontal="center" vertical="center"/>
      <protection locked="0"/>
    </xf>
    <xf numFmtId="0" fontId="59" fillId="5" borderId="0" xfId="2" applyFont="1" applyFill="1" applyAlignment="1">
      <alignment horizontal="left" vertical="center"/>
    </xf>
    <xf numFmtId="0" fontId="59" fillId="5" borderId="0" xfId="2" applyFont="1" applyFill="1" applyAlignment="1">
      <alignment horizontal="center" vertical="center"/>
    </xf>
    <xf numFmtId="0" fontId="59" fillId="5" borderId="7" xfId="2" applyFont="1" applyFill="1" applyBorder="1" applyAlignment="1">
      <alignment horizontal="center" vertical="center"/>
    </xf>
    <xf numFmtId="0" fontId="60" fillId="5" borderId="7" xfId="2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/>
    </xf>
    <xf numFmtId="179" fontId="12" fillId="2" borderId="21" xfId="2" applyNumberFormat="1" applyFont="1" applyFill="1" applyBorder="1" applyAlignment="1" applyProtection="1">
      <alignment horizontal="center" vertical="center"/>
      <protection locked="0"/>
    </xf>
    <xf numFmtId="179" fontId="12" fillId="2" borderId="42" xfId="2" applyNumberFormat="1" applyFont="1" applyFill="1" applyBorder="1" applyAlignment="1" applyProtection="1">
      <alignment horizontal="center" vertical="center"/>
      <protection locked="0"/>
    </xf>
    <xf numFmtId="179" fontId="12" fillId="2" borderId="22" xfId="2" applyNumberFormat="1" applyFont="1" applyFill="1" applyBorder="1" applyAlignment="1" applyProtection="1">
      <alignment horizontal="center" vertical="center"/>
      <protection locked="0"/>
    </xf>
    <xf numFmtId="180" fontId="12" fillId="8" borderId="37" xfId="2" applyNumberFormat="1" applyFont="1" applyFill="1" applyBorder="1" applyAlignment="1" applyProtection="1">
      <alignment horizontal="center" vertical="center"/>
      <protection locked="0"/>
    </xf>
    <xf numFmtId="179" fontId="12" fillId="2" borderId="23" xfId="2" applyNumberFormat="1" applyFont="1" applyFill="1" applyBorder="1" applyAlignment="1" applyProtection="1">
      <alignment horizontal="center" vertical="center"/>
      <protection locked="0"/>
    </xf>
    <xf numFmtId="186" fontId="12" fillId="2" borderId="37" xfId="2" applyNumberFormat="1" applyFont="1" applyFill="1" applyBorder="1" applyAlignment="1">
      <alignment horizontal="center" vertical="center"/>
    </xf>
    <xf numFmtId="186" fontId="12" fillId="2" borderId="38" xfId="2" applyNumberFormat="1" applyFont="1" applyFill="1" applyBorder="1" applyAlignment="1">
      <alignment horizontal="center" vertical="center"/>
    </xf>
    <xf numFmtId="0" fontId="12" fillId="2" borderId="42" xfId="2" applyFont="1" applyFill="1" applyBorder="1" applyAlignment="1" applyProtection="1">
      <alignment horizontal="center" vertical="center"/>
      <protection locked="0"/>
    </xf>
    <xf numFmtId="0" fontId="12" fillId="2" borderId="24" xfId="2" applyFont="1" applyFill="1" applyBorder="1" applyAlignment="1" applyProtection="1">
      <alignment horizontal="center" vertical="center"/>
      <protection locked="0"/>
    </xf>
    <xf numFmtId="0" fontId="12" fillId="2" borderId="21" xfId="2" applyFont="1" applyFill="1" applyBorder="1" applyAlignment="1" applyProtection="1">
      <alignment horizontal="center" vertical="center"/>
      <protection locked="0"/>
    </xf>
    <xf numFmtId="180" fontId="12" fillId="0" borderId="37" xfId="2" quotePrefix="1" applyNumberFormat="1" applyFont="1" applyBorder="1" applyAlignment="1" applyProtection="1">
      <alignment horizontal="center" vertical="center"/>
      <protection locked="0"/>
    </xf>
    <xf numFmtId="180" fontId="12" fillId="0" borderId="37" xfId="2" applyNumberFormat="1" applyFont="1" applyBorder="1" applyAlignment="1" applyProtection="1">
      <alignment horizontal="center" vertical="center"/>
      <protection locked="0"/>
    </xf>
    <xf numFmtId="0" fontId="12" fillId="5" borderId="7" xfId="2" applyFont="1" applyFill="1" applyBorder="1" applyAlignment="1">
      <alignment horizontal="center" vertical="center"/>
    </xf>
    <xf numFmtId="0" fontId="12" fillId="5" borderId="3" xfId="2" applyFont="1" applyFill="1" applyBorder="1" applyAlignment="1">
      <alignment horizontal="center" vertical="center"/>
    </xf>
    <xf numFmtId="179" fontId="12" fillId="2" borderId="2" xfId="2" applyNumberFormat="1" applyFont="1" applyFill="1" applyBorder="1" applyAlignment="1" applyProtection="1">
      <alignment horizontal="center" vertical="center"/>
      <protection locked="0"/>
    </xf>
    <xf numFmtId="179" fontId="12" fillId="2" borderId="3" xfId="2" applyNumberFormat="1" applyFont="1" applyFill="1" applyBorder="1" applyAlignment="1" applyProtection="1">
      <alignment horizontal="center" vertical="center"/>
      <protection locked="0"/>
    </xf>
    <xf numFmtId="179" fontId="12" fillId="2" borderId="4" xfId="2" applyNumberFormat="1" applyFont="1" applyFill="1" applyBorder="1" applyAlignment="1" applyProtection="1">
      <alignment horizontal="center" vertical="center"/>
      <protection locked="0"/>
    </xf>
    <xf numFmtId="186" fontId="12" fillId="2" borderId="1" xfId="2" applyNumberFormat="1" applyFont="1" applyFill="1" applyBorder="1" applyAlignment="1">
      <alignment horizontal="center" vertical="center"/>
    </xf>
    <xf numFmtId="186" fontId="12" fillId="2" borderId="35" xfId="2" applyNumberFormat="1" applyFont="1" applyFill="1" applyBorder="1" applyAlignment="1">
      <alignment horizontal="center" vertical="center"/>
    </xf>
    <xf numFmtId="0" fontId="12" fillId="2" borderId="3" xfId="2" applyFont="1" applyFill="1" applyBorder="1" applyAlignment="1" applyProtection="1">
      <alignment horizontal="center" vertical="center"/>
      <protection locked="0"/>
    </xf>
    <xf numFmtId="0" fontId="12" fillId="2" borderId="20" xfId="2" applyFont="1" applyFill="1" applyBorder="1" applyAlignment="1" applyProtection="1">
      <alignment horizontal="center" vertical="center"/>
      <protection locked="0"/>
    </xf>
    <xf numFmtId="0" fontId="12" fillId="2" borderId="47" xfId="2" applyFont="1" applyFill="1" applyBorder="1" applyAlignment="1" applyProtection="1">
      <alignment horizontal="center" vertical="center"/>
      <protection locked="0"/>
    </xf>
    <xf numFmtId="179" fontId="12" fillId="2" borderId="47" xfId="2" applyNumberFormat="1" applyFont="1" applyFill="1" applyBorder="1" applyAlignment="1" applyProtection="1">
      <alignment horizontal="center" vertical="center"/>
      <protection locked="0"/>
    </xf>
    <xf numFmtId="180" fontId="12" fillId="0" borderId="1" xfId="2" quotePrefix="1" applyNumberFormat="1" applyFont="1" applyBorder="1" applyAlignment="1" applyProtection="1">
      <alignment horizontal="center" vertical="center"/>
      <protection locked="0"/>
    </xf>
    <xf numFmtId="180" fontId="12" fillId="0" borderId="1" xfId="2" applyNumberFormat="1" applyFont="1" applyBorder="1" applyAlignment="1" applyProtection="1">
      <alignment horizontal="center" vertical="center"/>
      <protection locked="0"/>
    </xf>
    <xf numFmtId="180" fontId="12" fillId="8" borderId="1" xfId="2" applyNumberFormat="1" applyFont="1" applyFill="1" applyBorder="1" applyAlignment="1" applyProtection="1">
      <alignment horizontal="center" vertical="center"/>
      <protection locked="0"/>
    </xf>
    <xf numFmtId="0" fontId="16" fillId="5" borderId="0" xfId="2" applyFont="1" applyFill="1" applyAlignment="1">
      <alignment horizontal="center" vertical="center"/>
    </xf>
    <xf numFmtId="186" fontId="12" fillId="2" borderId="32" xfId="2" applyNumberFormat="1" applyFont="1" applyFill="1" applyBorder="1" applyAlignment="1">
      <alignment horizontal="center" vertical="center"/>
    </xf>
    <xf numFmtId="186" fontId="12" fillId="2" borderId="33" xfId="2" applyNumberFormat="1" applyFont="1" applyFill="1" applyBorder="1" applyAlignment="1">
      <alignment horizontal="center" vertical="center"/>
    </xf>
    <xf numFmtId="179" fontId="12" fillId="2" borderId="43" xfId="2" applyNumberFormat="1" applyFont="1" applyFill="1" applyBorder="1" applyAlignment="1" applyProtection="1">
      <alignment horizontal="center" vertical="center"/>
      <protection locked="0"/>
    </xf>
    <xf numFmtId="179" fontId="12" fillId="2" borderId="30" xfId="2" applyNumberFormat="1" applyFont="1" applyFill="1" applyBorder="1" applyAlignment="1" applyProtection="1">
      <alignment horizontal="center" vertical="center"/>
      <protection locked="0"/>
    </xf>
    <xf numFmtId="179" fontId="12" fillId="2" borderId="40" xfId="2" applyNumberFormat="1" applyFont="1" applyFill="1" applyBorder="1" applyAlignment="1" applyProtection="1">
      <alignment horizontal="center" vertical="center"/>
      <protection locked="0"/>
    </xf>
    <xf numFmtId="180" fontId="12" fillId="8" borderId="32" xfId="2" quotePrefix="1" applyNumberFormat="1" applyFont="1" applyFill="1" applyBorder="1" applyAlignment="1" applyProtection="1">
      <alignment horizontal="center" vertical="center"/>
      <protection locked="0"/>
    </xf>
    <xf numFmtId="180" fontId="12" fillId="8" borderId="32" xfId="2" applyNumberFormat="1" applyFont="1" applyFill="1" applyBorder="1" applyAlignment="1" applyProtection="1">
      <alignment horizontal="center" vertical="center"/>
      <protection locked="0"/>
    </xf>
    <xf numFmtId="179" fontId="12" fillId="2" borderId="39" xfId="2" applyNumberFormat="1" applyFont="1" applyFill="1" applyBorder="1" applyAlignment="1" applyProtection="1">
      <alignment horizontal="center" vertical="center"/>
      <protection locked="0"/>
    </xf>
    <xf numFmtId="0" fontId="12" fillId="2" borderId="37" xfId="2" applyFont="1" applyFill="1" applyBorder="1" applyAlignment="1">
      <alignment horizontal="center" vertical="center"/>
    </xf>
    <xf numFmtId="0" fontId="12" fillId="2" borderId="38" xfId="2" applyFont="1" applyFill="1" applyBorder="1" applyAlignment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12" fillId="2" borderId="30" xfId="2" applyFont="1" applyFill="1" applyBorder="1" applyAlignment="1" applyProtection="1">
      <alignment horizontal="center" vertical="center"/>
      <protection locked="0"/>
    </xf>
    <xf numFmtId="0" fontId="12" fillId="2" borderId="41" xfId="2" applyFont="1" applyFill="1" applyBorder="1" applyAlignment="1" applyProtection="1">
      <alignment horizontal="center" vertical="center"/>
      <protection locked="0"/>
    </xf>
    <xf numFmtId="0" fontId="12" fillId="2" borderId="43" xfId="2" applyFont="1" applyFill="1" applyBorder="1" applyAlignment="1" applyProtection="1">
      <alignment horizontal="center" vertical="center"/>
      <protection locked="0"/>
    </xf>
    <xf numFmtId="180" fontId="12" fillId="0" borderId="32" xfId="2" quotePrefix="1" applyNumberFormat="1" applyFont="1" applyBorder="1" applyAlignment="1" applyProtection="1">
      <alignment horizontal="center" vertical="center"/>
      <protection locked="0"/>
    </xf>
    <xf numFmtId="180" fontId="12" fillId="0" borderId="32" xfId="2" applyNumberFormat="1" applyFont="1" applyBorder="1" applyAlignment="1" applyProtection="1">
      <alignment horizontal="center" vertical="center"/>
      <protection locked="0"/>
    </xf>
    <xf numFmtId="0" fontId="11" fillId="2" borderId="13" xfId="2" applyFill="1" applyBorder="1" applyAlignment="1">
      <alignment horizontal="center" vertical="center"/>
    </xf>
    <xf numFmtId="0" fontId="11" fillId="2" borderId="14" xfId="2" applyFill="1" applyBorder="1" applyAlignment="1">
      <alignment horizontal="center" vertical="center"/>
    </xf>
    <xf numFmtId="0" fontId="11" fillId="2" borderId="17" xfId="2" applyFill="1" applyBorder="1" applyAlignment="1">
      <alignment horizontal="center" vertical="center"/>
    </xf>
    <xf numFmtId="0" fontId="11" fillId="2" borderId="25" xfId="2" applyFill="1" applyBorder="1" applyAlignment="1">
      <alignment horizontal="center" vertical="center"/>
    </xf>
    <xf numFmtId="0" fontId="11" fillId="2" borderId="0" xfId="2" applyFill="1" applyAlignment="1">
      <alignment horizontal="center" vertical="center"/>
    </xf>
    <xf numFmtId="0" fontId="11" fillId="2" borderId="26" xfId="2" applyFill="1" applyBorder="1" applyAlignment="1">
      <alignment horizontal="center" vertical="center"/>
    </xf>
    <xf numFmtId="0" fontId="11" fillId="2" borderId="27" xfId="2" applyFill="1" applyBorder="1" applyAlignment="1">
      <alignment horizontal="center" vertical="center"/>
    </xf>
    <xf numFmtId="0" fontId="11" fillId="2" borderId="28" xfId="2" applyFill="1" applyBorder="1" applyAlignment="1">
      <alignment horizontal="center" vertical="center"/>
    </xf>
    <xf numFmtId="0" fontId="11" fillId="2" borderId="29" xfId="2" applyFill="1" applyBorder="1" applyAlignment="1">
      <alignment horizontal="center" vertical="center"/>
    </xf>
    <xf numFmtId="0" fontId="12" fillId="2" borderId="28" xfId="2" applyFont="1" applyFill="1" applyBorder="1" applyAlignment="1">
      <alignment horizontal="center" vertical="center" wrapText="1"/>
    </xf>
    <xf numFmtId="0" fontId="12" fillId="2" borderId="29" xfId="2" applyFont="1" applyFill="1" applyBorder="1" applyAlignment="1">
      <alignment horizontal="center" vertical="center" wrapText="1"/>
    </xf>
    <xf numFmtId="0" fontId="12" fillId="2" borderId="36" xfId="2" applyFont="1" applyFill="1" applyBorder="1" applyAlignment="1">
      <alignment horizontal="center" vertical="center"/>
    </xf>
    <xf numFmtId="0" fontId="12" fillId="2" borderId="49" xfId="2" applyFont="1" applyFill="1" applyBorder="1" applyAlignment="1">
      <alignment horizontal="center" vertical="center" wrapText="1"/>
    </xf>
    <xf numFmtId="0" fontId="12" fillId="2" borderId="50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/>
    </xf>
    <xf numFmtId="0" fontId="12" fillId="2" borderId="42" xfId="2" applyFont="1" applyFill="1" applyBorder="1" applyAlignment="1">
      <alignment horizontal="center" vertical="center"/>
    </xf>
    <xf numFmtId="0" fontId="12" fillId="2" borderId="22" xfId="2" applyFont="1" applyFill="1" applyBorder="1" applyAlignment="1">
      <alignment horizontal="center" vertical="center"/>
    </xf>
    <xf numFmtId="0" fontId="12" fillId="2" borderId="24" xfId="2" applyFont="1" applyFill="1" applyBorder="1" applyAlignment="1">
      <alignment horizontal="center" vertical="center"/>
    </xf>
    <xf numFmtId="0" fontId="12" fillId="2" borderId="14" xfId="2" applyFont="1" applyFill="1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center" vertical="center" wrapText="1"/>
    </xf>
    <xf numFmtId="0" fontId="12" fillId="2" borderId="26" xfId="2" applyFont="1" applyFill="1" applyBorder="1" applyAlignment="1">
      <alignment horizontal="center" vertical="center" wrapText="1"/>
    </xf>
    <xf numFmtId="0" fontId="11" fillId="2" borderId="15" xfId="2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5" xfId="2" applyFont="1" applyFill="1" applyBorder="1" applyAlignment="1">
      <alignment horizontal="center" vertical="center" wrapText="1"/>
    </xf>
    <xf numFmtId="0" fontId="12" fillId="2" borderId="5" xfId="2" applyFont="1" applyFill="1" applyBorder="1" applyAlignment="1">
      <alignment horizontal="center" vertical="center" wrapText="1"/>
    </xf>
    <xf numFmtId="0" fontId="12" fillId="2" borderId="10" xfId="2" applyFont="1" applyFill="1" applyBorder="1" applyAlignment="1">
      <alignment horizontal="center" vertical="center" wrapText="1"/>
    </xf>
    <xf numFmtId="0" fontId="11" fillId="2" borderId="16" xfId="2" applyFill="1" applyBorder="1" applyAlignment="1">
      <alignment horizontal="center" vertical="center"/>
    </xf>
    <xf numFmtId="0" fontId="12" fillId="2" borderId="18" xfId="2" applyFont="1" applyFill="1" applyBorder="1" applyAlignment="1">
      <alignment horizontal="center" vertical="center"/>
    </xf>
    <xf numFmtId="0" fontId="12" fillId="2" borderId="7" xfId="2" applyFont="1" applyFill="1" applyBorder="1" applyAlignment="1">
      <alignment horizontal="center" vertical="center"/>
    </xf>
    <xf numFmtId="0" fontId="12" fillId="2" borderId="8" xfId="2" applyFont="1" applyFill="1" applyBorder="1" applyAlignment="1">
      <alignment horizontal="center" vertical="center"/>
    </xf>
    <xf numFmtId="0" fontId="12" fillId="2" borderId="6" xfId="2" applyFont="1" applyFill="1" applyBorder="1" applyAlignment="1">
      <alignment horizontal="center" vertical="center"/>
    </xf>
    <xf numFmtId="0" fontId="12" fillId="2" borderId="19" xfId="2" applyFont="1" applyFill="1" applyBorder="1" applyAlignment="1">
      <alignment horizontal="center" vertical="center"/>
    </xf>
    <xf numFmtId="0" fontId="12" fillId="2" borderId="48" xfId="2" applyFont="1" applyFill="1" applyBorder="1" applyAlignment="1">
      <alignment horizontal="center" vertical="center"/>
    </xf>
    <xf numFmtId="0" fontId="12" fillId="2" borderId="51" xfId="2" applyFont="1" applyFill="1" applyBorder="1" applyAlignment="1">
      <alignment horizontal="center" vertical="center"/>
    </xf>
    <xf numFmtId="178" fontId="12" fillId="2" borderId="2" xfId="2" applyNumberFormat="1" applyFont="1" applyFill="1" applyBorder="1" applyAlignment="1">
      <alignment horizontal="center" vertical="center"/>
    </xf>
    <xf numFmtId="178" fontId="12" fillId="2" borderId="3" xfId="2" applyNumberFormat="1" applyFont="1" applyFill="1" applyBorder="1" applyAlignment="1">
      <alignment horizontal="center" vertical="center"/>
    </xf>
    <xf numFmtId="178" fontId="12" fillId="2" borderId="4" xfId="2" applyNumberFormat="1" applyFont="1" applyFill="1" applyBorder="1" applyAlignment="1">
      <alignment horizontal="center" vertical="center"/>
    </xf>
    <xf numFmtId="0" fontId="41" fillId="2" borderId="0" xfId="2" applyFont="1" applyFill="1" applyAlignment="1">
      <alignment horizontal="center" vertical="center"/>
    </xf>
    <xf numFmtId="0" fontId="42" fillId="2" borderId="0" xfId="2" applyFont="1" applyFill="1" applyAlignment="1">
      <alignment horizontal="center" vertical="center"/>
    </xf>
    <xf numFmtId="0" fontId="12" fillId="5" borderId="0" xfId="2" applyFont="1" applyFill="1" applyAlignment="1" applyProtection="1">
      <alignment horizontal="left" vertical="center"/>
      <protection locked="0"/>
    </xf>
    <xf numFmtId="0" fontId="42" fillId="2" borderId="0" xfId="2" applyFont="1" applyFill="1" applyAlignment="1">
      <alignment horizontal="left" vertical="center"/>
    </xf>
    <xf numFmtId="0" fontId="12" fillId="7" borderId="0" xfId="0" applyFont="1" applyFill="1" applyAlignment="1" applyProtection="1">
      <alignment horizontal="left" vertical="top"/>
      <protection locked="0"/>
    </xf>
    <xf numFmtId="0" fontId="42" fillId="2" borderId="0" xfId="2" applyFont="1" applyFill="1" applyAlignment="1">
      <alignment horizontal="left" vertical="center" wrapText="1"/>
    </xf>
    <xf numFmtId="0" fontId="12" fillId="2" borderId="7" xfId="2" applyFont="1" applyFill="1" applyBorder="1" applyAlignment="1">
      <alignment horizontal="center" wrapText="1"/>
    </xf>
    <xf numFmtId="0" fontId="11" fillId="2" borderId="0" xfId="2" applyFill="1" applyAlignment="1">
      <alignment horizontal="left" wrapText="1"/>
    </xf>
    <xf numFmtId="0" fontId="12" fillId="8" borderId="7" xfId="2" quotePrefix="1" applyFont="1" applyFill="1" applyBorder="1" applyAlignment="1" applyProtection="1">
      <alignment horizontal="center"/>
      <protection locked="0"/>
    </xf>
    <xf numFmtId="0" fontId="12" fillId="2" borderId="0" xfId="2" applyFont="1" applyFill="1"/>
    <xf numFmtId="0" fontId="12" fillId="5" borderId="0" xfId="2" applyFont="1" applyFill="1" applyAlignment="1">
      <alignment horizontal="left"/>
    </xf>
    <xf numFmtId="0" fontId="12" fillId="2" borderId="0" xfId="2" applyFont="1" applyFill="1" applyAlignment="1">
      <alignment horizontal="left"/>
    </xf>
    <xf numFmtId="0" fontId="13" fillId="5" borderId="0" xfId="2" applyFont="1" applyFill="1" applyAlignment="1">
      <alignment horizontal="center" vertical="center"/>
    </xf>
    <xf numFmtId="0" fontId="28" fillId="5" borderId="0" xfId="2" applyFont="1" applyFill="1" applyAlignment="1">
      <alignment horizontal="center" vertical="center"/>
    </xf>
    <xf numFmtId="0" fontId="12" fillId="5" borderId="0" xfId="2" applyFont="1" applyFill="1" applyAlignment="1" applyProtection="1">
      <alignment horizontal="center" vertical="center"/>
      <protection locked="0"/>
    </xf>
    <xf numFmtId="0" fontId="12" fillId="5" borderId="0" xfId="2" applyFont="1" applyFill="1" applyAlignment="1">
      <alignment horizontal="left" vertical="center" shrinkToFit="1"/>
    </xf>
    <xf numFmtId="0" fontId="12" fillId="5" borderId="44" xfId="2" applyFont="1" applyFill="1" applyBorder="1" applyAlignment="1" applyProtection="1">
      <alignment horizontal="left" vertical="center"/>
      <protection locked="0"/>
    </xf>
    <xf numFmtId="0" fontId="37" fillId="5" borderId="59" xfId="2" applyFont="1" applyFill="1" applyBorder="1" applyAlignment="1" applyProtection="1">
      <alignment horizontal="left" vertical="center"/>
      <protection locked="0"/>
    </xf>
    <xf numFmtId="0" fontId="12" fillId="5" borderId="59" xfId="2" applyFont="1" applyFill="1" applyBorder="1" applyAlignment="1" applyProtection="1">
      <alignment horizontal="left" vertical="center"/>
      <protection locked="0"/>
    </xf>
    <xf numFmtId="0" fontId="17" fillId="2" borderId="0" xfId="2" applyFont="1" applyFill="1" applyAlignment="1">
      <alignment horizontal="center" vertical="center"/>
    </xf>
    <xf numFmtId="183" fontId="12" fillId="2" borderId="7" xfId="2" applyNumberFormat="1" applyFont="1" applyFill="1" applyBorder="1" applyAlignment="1">
      <alignment horizontal="center" vertical="center"/>
    </xf>
    <xf numFmtId="0" fontId="16" fillId="2" borderId="0" xfId="2" applyFont="1" applyFill="1" applyAlignment="1">
      <alignment horizontal="center" vertical="center"/>
    </xf>
    <xf numFmtId="180" fontId="12" fillId="2" borderId="7" xfId="2" applyNumberFormat="1" applyFont="1" applyFill="1" applyBorder="1" applyAlignment="1">
      <alignment horizontal="center" vertical="center"/>
    </xf>
    <xf numFmtId="0" fontId="16" fillId="5" borderId="0" xfId="2" applyFont="1" applyFill="1" applyAlignment="1">
      <alignment horizontal="left" vertical="center"/>
    </xf>
    <xf numFmtId="0" fontId="41" fillId="5" borderId="0" xfId="2" applyFont="1" applyFill="1" applyAlignment="1">
      <alignment horizontal="center" vertical="center"/>
    </xf>
    <xf numFmtId="0" fontId="42" fillId="5" borderId="0" xfId="2" applyFont="1" applyFill="1" applyAlignment="1">
      <alignment horizontal="center" vertical="center"/>
    </xf>
    <xf numFmtId="49" fontId="11" fillId="2" borderId="0" xfId="2" applyNumberFormat="1" applyFill="1" applyAlignment="1">
      <alignment horizontal="left" vertical="center"/>
    </xf>
    <xf numFmtId="0" fontId="70" fillId="5" borderId="0" xfId="2" applyFont="1" applyFill="1" applyAlignment="1" applyProtection="1">
      <alignment horizontal="center" vertical="center"/>
      <protection locked="0"/>
    </xf>
    <xf numFmtId="0" fontId="12" fillId="2" borderId="0" xfId="2" applyFont="1" applyFill="1" applyAlignment="1">
      <alignment horizontal="left" vertical="center"/>
    </xf>
    <xf numFmtId="0" fontId="12" fillId="5" borderId="42" xfId="2" applyFont="1" applyFill="1" applyBorder="1" applyAlignment="1" applyProtection="1">
      <alignment horizontal="center" vertical="center"/>
      <protection locked="0"/>
    </xf>
    <xf numFmtId="0" fontId="12" fillId="5" borderId="24" xfId="2" applyFont="1" applyFill="1" applyBorder="1" applyAlignment="1" applyProtection="1">
      <alignment horizontal="center" vertical="center"/>
      <protection locked="0"/>
    </xf>
    <xf numFmtId="0" fontId="12" fillId="5" borderId="3" xfId="2" applyFont="1" applyFill="1" applyBorder="1" applyAlignment="1" applyProtection="1">
      <alignment horizontal="center" vertical="center"/>
      <protection locked="0"/>
    </xf>
    <xf numFmtId="0" fontId="12" fillId="5" borderId="20" xfId="2" applyFont="1" applyFill="1" applyBorder="1" applyAlignment="1" applyProtection="1">
      <alignment horizontal="center" vertical="center"/>
      <protection locked="0"/>
    </xf>
    <xf numFmtId="0" fontId="12" fillId="5" borderId="19" xfId="2" applyFont="1" applyFill="1" applyBorder="1" applyAlignment="1" applyProtection="1">
      <alignment horizontal="center" vertical="center"/>
      <protection locked="0"/>
    </xf>
    <xf numFmtId="0" fontId="12" fillId="5" borderId="30" xfId="2" applyFont="1" applyFill="1" applyBorder="1" applyAlignment="1" applyProtection="1">
      <alignment horizontal="center" vertical="center"/>
      <protection locked="0"/>
    </xf>
    <xf numFmtId="0" fontId="12" fillId="5" borderId="41" xfId="2" applyFont="1" applyFill="1" applyBorder="1" applyAlignment="1" applyProtection="1">
      <alignment horizontal="center" vertical="center"/>
      <protection locked="0"/>
    </xf>
  </cellXfs>
  <cellStyles count="8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  <cellStyle name="Normal 4" xfId="4" xr:uid="{00000000-0005-0000-0000-000004000000}"/>
    <cellStyle name="Normal 5" xfId="5" xr:uid="{00000000-0005-0000-0000-000005000000}"/>
    <cellStyle name="Percent" xfId="7" builtinId="5"/>
    <cellStyle name="Percent 2" xfId="6" xr:uid="{00000000-0005-0000-0000-000007000000}"/>
  </cellStyles>
  <dxfs count="17">
    <dxf>
      <fill>
        <patternFill>
          <bgColor rgb="FFCCFFCC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99FFCC"/>
      <color rgb="FF66FFCC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50</xdr:row>
      <xdr:rowOff>104775</xdr:rowOff>
    </xdr:from>
    <xdr:to>
      <xdr:col>9</xdr:col>
      <xdr:colOff>118934</xdr:colOff>
      <xdr:row>51</xdr:row>
      <xdr:rowOff>185091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>
        <a:xfrm>
          <a:off x="2105025" y="10515600"/>
          <a:ext cx="852359" cy="280341"/>
          <a:chOff x="2361561" y="12241292"/>
          <a:chExt cx="1436304" cy="472467"/>
        </a:xfrm>
      </xdr:grpSpPr>
      <xdr:sp macro="" textlink="$I$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2361561" y="12241292"/>
            <a:ext cx="1436304" cy="472467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3A1D6E73-E0A6-4E57-8B05-10B14817F2C5}" type="TxLink">
              <a:rPr lang="en-US" altLang="en-US" sz="1600" b="1" i="0" u="none" strike="noStrike" spc="-400" baseline="0">
                <a:solidFill>
                  <a:srgbClr val="000000"/>
                </a:solidFill>
                <a:effectLst/>
                <a:latin typeface="標楷體" panose="03000509000000000000" pitchFamily="65" charset="-120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6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Aspect="1"/>
          </xdr:cNvSpPr>
        </xdr:nvSpPr>
        <xdr:spPr>
          <a:xfrm>
            <a:off x="2689777" y="12305573"/>
            <a:ext cx="859347" cy="360007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76200</xdr:rowOff>
        </xdr:from>
        <xdr:to>
          <xdr:col>31</xdr:col>
          <xdr:colOff>895350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0941665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12235815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147123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6" name="Rectangle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7" name="Rectangle 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20941665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12235815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147123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0" name="Rectangle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1" name="Rectangle 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20941665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3" name="Rectangle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12235815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4" name="Rectangle 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147123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5" name="Rectangle 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6" name="Rectangle 1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147351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7" name="Rectangle 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 noChangeArrowheads="1"/>
        </xdr:cNvSpPr>
      </xdr:nvSpPr>
      <xdr:spPr bwMode="auto">
        <a:xfrm>
          <a:off x="23218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8" name="Rectangle 1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ChangeArrowheads="1"/>
        </xdr:cNvSpPr>
      </xdr:nvSpPr>
      <xdr:spPr bwMode="auto">
        <a:xfrm>
          <a:off x="150075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9" name="Rectangle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ChangeArrowheads="1"/>
        </xdr:cNvSpPr>
      </xdr:nvSpPr>
      <xdr:spPr bwMode="auto">
        <a:xfrm>
          <a:off x="174174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0" name="Rectangle 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1" name="Rectangle 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2" name="Rectangle 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rrowheads="1"/>
        </xdr:cNvSpPr>
      </xdr:nvSpPr>
      <xdr:spPr bwMode="auto">
        <a:xfrm>
          <a:off x="23218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3" name="Rectangle 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rrowheads="1"/>
        </xdr:cNvSpPr>
      </xdr:nvSpPr>
      <xdr:spPr bwMode="auto">
        <a:xfrm>
          <a:off x="150075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4" name="Rectangle 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rrowheads="1"/>
        </xdr:cNvSpPr>
      </xdr:nvSpPr>
      <xdr:spPr bwMode="auto">
        <a:xfrm>
          <a:off x="174174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5" name="Rectangle 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6" name="Rectangle 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7" name="Rectangle 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rrowheads="1"/>
        </xdr:cNvSpPr>
      </xdr:nvSpPr>
      <xdr:spPr bwMode="auto">
        <a:xfrm>
          <a:off x="23218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8" name="Rectangle 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rrowheads="1"/>
        </xdr:cNvSpPr>
      </xdr:nvSpPr>
      <xdr:spPr bwMode="auto">
        <a:xfrm>
          <a:off x="150075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9" name="Rectangl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rrowheads="1"/>
        </xdr:cNvSpPr>
      </xdr:nvSpPr>
      <xdr:spPr bwMode="auto">
        <a:xfrm>
          <a:off x="174174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0" name="Rectangle 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1" name="Rectangle 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174402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2" name="Rectangle 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rrowheads="1"/>
        </xdr:cNvSpPr>
      </xdr:nvSpPr>
      <xdr:spPr bwMode="auto">
        <a:xfrm>
          <a:off x="2476119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3" name="Rectangle 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>
          <a:spLocks noChangeArrowheads="1"/>
        </xdr:cNvSpPr>
      </xdr:nvSpPr>
      <xdr:spPr bwMode="auto">
        <a:xfrm>
          <a:off x="15826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4" name="Rectangle 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rrowheads="1"/>
        </xdr:cNvSpPr>
      </xdr:nvSpPr>
      <xdr:spPr bwMode="auto">
        <a:xfrm>
          <a:off x="18255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5" name="Rectangle 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6" name="Rectangle 1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7" name="Rectangle 1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rrowheads="1"/>
        </xdr:cNvSpPr>
      </xdr:nvSpPr>
      <xdr:spPr bwMode="auto">
        <a:xfrm>
          <a:off x="2476119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8" name="Rectangle 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rrowheads="1"/>
        </xdr:cNvSpPr>
      </xdr:nvSpPr>
      <xdr:spPr bwMode="auto">
        <a:xfrm>
          <a:off x="15826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9" name="Rectangle 1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>
          <a:spLocks noChangeArrowheads="1"/>
        </xdr:cNvSpPr>
      </xdr:nvSpPr>
      <xdr:spPr bwMode="auto">
        <a:xfrm>
          <a:off x="18255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40" name="Rectangle 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42" name="Rectangle 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 noChangeArrowheads="1"/>
        </xdr:cNvSpPr>
      </xdr:nvSpPr>
      <xdr:spPr bwMode="auto">
        <a:xfrm>
          <a:off x="2476119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43" name="Rectangle 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>
          <a:spLocks noChangeArrowheads="1"/>
        </xdr:cNvSpPr>
      </xdr:nvSpPr>
      <xdr:spPr bwMode="auto">
        <a:xfrm>
          <a:off x="15826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44" name="Rectangle 1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 noChangeArrowheads="1"/>
        </xdr:cNvSpPr>
      </xdr:nvSpPr>
      <xdr:spPr bwMode="auto">
        <a:xfrm>
          <a:off x="18255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45" name="Rectangle 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46" name="Rectangle 1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 noChangeArrowheads="1"/>
        </xdr:cNvSpPr>
      </xdr:nvSpPr>
      <xdr:spPr bwMode="auto">
        <a:xfrm>
          <a:off x="18278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47" name="Rectangle 1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48" name="Rectangle 1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49" name="Rectangle 1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50" name="Rectangle 1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51" name="Rectangle 1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52" name="Rectangle 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53" name="Rectangle 1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54" name="Rectangle 1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55" name="Rectangle 1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56" name="Rectangle 1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57" name="Rectangle 1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58" name="Rectangle 1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59" name="Rectangle 1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60" name="Rectangle 1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61" name="Rectangle 1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62" name="Rectangle 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63" name="Rectangle 1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64" name="Rectangle 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65" name="Rectangle 1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66" name="Rectangle 1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67" name="Rectangle 1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68" name="Rectangle 1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69" name="Rectangle 1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70" name="Rectangle 1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71" name="Rectangle 1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72" name="Rectangle 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73" name="Rectangle 1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74" name="Rectangle 1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75" name="Rectangle 1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76" name="Rectangle 1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77" name="Rectangle 1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78" name="Rectangle 1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79" name="Rectangle 1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80" name="Rectangle 1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81" name="Rectangle 1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82" name="Rectangle 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83" name="Rectangle 1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84" name="Rectangle 1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85" name="Rectangle 1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86" name="Rectangle 1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87" name="Rectangle 1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88" name="Rectangle 1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89" name="Rectangle 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90" name="Rectangle 1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91" name="Rectangle 1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92" name="Rectangle 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93" name="Rectangle 1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94" name="Rectangle 1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95" name="Rectangle 1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96" name="Rectangle 1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97" name="Rectangle 1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98" name="Rectangle 1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99" name="Rectangle 1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00" name="Rectangle 1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01" name="Rectangle 1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02" name="Rectangle 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03" name="Rectangle 1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04" name="Rectangle 1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05" name="Rectangle 1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06" name="Rectangle 1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07" name="Rectangle 1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08" name="Rectangle 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09" name="Rectangle 1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10" name="Rectangle 1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11" name="Rectangle 1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12" name="Rectangle 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13" name="Rectangle 1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14" name="Rectangle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15" name="Rectangle 1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16" name="Rectangle 1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17" name="Rectangle 1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18" name="Rectangle 1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19" name="Rectangle 1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20" name="Rectangle 1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21" name="Rectangle 1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22" name="Rectangle 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23" name="Rectangle 1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24" name="Rectangle 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25" name="Rectangle 1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26" name="Rectangle 1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27" name="Rectangle 1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28" name="Rectangle 1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29" name="Rectangle 1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30" name="Rectangle 1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31" name="Rectangle 1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32" name="Rectangle 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33" name="Rectangle 1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34" name="Rectangle 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35" name="Rectangle 1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36" name="Rectangle 1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37" name="Rectangle 1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38" name="Rectangle 1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39" name="Rectangle 1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40" name="Rectangle 1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41" name="Rectangle 1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42" name="Rectangle 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43" name="Rectangle 1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44" name="Rectangle 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45" name="Rectangle 1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46" name="Rectangle 1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47" name="Rectangle 1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48" name="Rectangle 1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49" name="Rectangle 1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50" name="Rectangle 1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51" name="Rectangle 1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52" name="Rectangle 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53" name="Rectangle 1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54" name="Rectangle 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55" name="Rectangle 1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56" name="Rectangle 1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57" name="Rectangle 1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58" name="Rectangle 1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59" name="Rectangle 1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60" name="Rectangle 1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61" name="Rectangle 1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62" name="Rectangle 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243611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63" name="Rectangle 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1544574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64" name="Rectangle 1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>
          <a:spLocks noChangeArrowheads="1"/>
        </xdr:cNvSpPr>
      </xdr:nvSpPr>
      <xdr:spPr bwMode="auto">
        <a:xfrm>
          <a:off x="178746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65" name="Rectangle 1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66" name="Rectangle 1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>
          <a:spLocks noChangeArrowheads="1"/>
        </xdr:cNvSpPr>
      </xdr:nvSpPr>
      <xdr:spPr bwMode="auto">
        <a:xfrm>
          <a:off x="178974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67" name="Rectangle 1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68" name="Rectangle 1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69" name="Rectangle 1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70" name="Rectangle 1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71" name="Rectangle 1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72" name="Rectangle 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73" name="Rectangle 1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74" name="Rectangle 1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75" name="Rectangle 1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76" name="Rectangle 1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77" name="Rectangle 1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78" name="Rectangle 1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79" name="Rectangle 1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80" name="Rectangle 1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81" name="Rectangle 1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82" name="Rectangle 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83" name="Rectangle 1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84" name="Rectangle 1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85" name="Rectangle 1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86" name="Rectangle 1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87" name="Rectangle 1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88" name="Rectangle 1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89" name="Rectangle 1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90" name="Rectangle 1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91" name="Rectangle 1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92" name="Rectangle 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93" name="Rectangle 1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94" name="Rectangle 1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95" name="Rectangle 1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196" name="Rectangle 1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197" name="Rectangle 1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198" name="Rectangle 1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199" name="Rectangle 1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00" name="Rectangle 1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01" name="Rectangle 1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02" name="Rectangle 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03" name="Rectangle 1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04" name="Rectangle 1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05" name="Rectangle 1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06" name="Rectangle 1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07" name="Rectangle 1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08" name="Rectangle 1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09" name="Rectangle 1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10" name="Rectangle 1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11" name="Rectangle 1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12" name="Rectangle 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13" name="Rectangle 1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14" name="Rectangle 1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15" name="Rectangle 1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16" name="Rectangle 1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17" name="Rectangle 1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18" name="Rectangle 1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19" name="Rectangle 1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20" name="Rectangle 1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21" name="Rectangle 1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22" name="Rectangle 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23" name="Rectangle 1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24" name="Rectangle 1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25" name="Rectangle 1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26" name="Rectangle 1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27" name="Rectangle 1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28" name="Rectangle 1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29" name="Rectangle 1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30" name="Rectangle 1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31" name="Rectangle 1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32" name="Rectangle 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33" name="Rectangle 1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34" name="Rectangle 1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35" name="Rectangle 1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36" name="Rectangle 1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37" name="Rectangle 1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38" name="Rectangle 1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39" name="Rectangle 1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40" name="Rectangle 1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41" name="Rectangle 1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42" name="Rectangle 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43" name="Rectangle 1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44" name="Rectangle 1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45" name="Rectangle 1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46" name="Rectangle 1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47" name="Rectangle 1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48" name="Rectangle 1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49" name="Rectangle 1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50" name="Rectangle 1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51" name="Rectangle 1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52" name="Rectangle 1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53" name="Rectangle 1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54" name="Rectangle 1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55" name="Rectangle 1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56" name="Rectangle 1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57" name="Rectangle 1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58" name="Rectangle 1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59" name="Rectangle 1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60" name="Rectangle 1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61" name="Rectangle 1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62" name="Rectangle 1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63" name="Rectangle 1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64" name="Rectangle 1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65" name="Rectangle 1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66" name="Rectangle 1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67" name="Rectangle 1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68" name="Rectangle 1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69" name="Rectangle 1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70" name="Rectangle 1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71" name="Rectangle 1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72" name="Rectangle 1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73" name="Rectangle 1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74" name="Rectangle 1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75" name="Rectangle 1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76" name="Rectangle 1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77" name="Rectangle 1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78" name="Rectangle 1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79" name="Rectangle 1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80" name="Rectangle 1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81" name="Rectangle 1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82" name="Rectangle 1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83" name="Rectangle 1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84" name="Rectangle 1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85" name="Rectangle 1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86" name="Rectangle 1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87" name="Rectangle 1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88" name="Rectangle 1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89" name="Rectangle 1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90" name="Rectangle 1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91" name="Rectangle 1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92" name="Rectangle 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93" name="Rectangle 1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94" name="Rectangle 1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95" name="Rectangle 1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296" name="Rectangle 1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297" name="Rectangle 1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298" name="Rectangle 1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299" name="Rectangle 1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00" name="Rectangle 1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01" name="Rectangle 1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02" name="Rectangle 1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03" name="Rectangle 1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04" name="Rectangle 1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05" name="Rectangle 1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06" name="Rectangle 1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07" name="Rectangle 1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08" name="Rectangle 1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09" name="Rectangle 1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10" name="Rectangle 1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11" name="Rectangle 1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12" name="Rectangle 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13" name="Rectangle 1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14" name="Rectangle 1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15" name="Rectangle 1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16" name="Rectangle 1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17" name="Rectangle 1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18" name="Rectangle 1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19" name="Rectangle 1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20" name="Rectangle 1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21" name="Rectangle 1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22" name="Rectangle 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23" name="Rectangle 1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24" name="Rectangle 1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25" name="Rectangle 1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26" name="Rectangle 1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27" name="Rectangle 1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28" name="Rectangle 1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29" name="Rectangle 1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30" name="Rectangle 1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31" name="Rectangle 1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32" name="Rectangle 166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33" name="Rectangle 1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34" name="Rectangle 1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35" name="Rectangle 1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36" name="Rectangle 1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37" name="Rectangle 1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38" name="Rectangle 1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39" name="Rectangle 1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40" name="Rectangle 1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41" name="Rectangle 1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42" name="Rectangle 1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43" name="Rectangle 1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44" name="Rectangle 1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45" name="Rectangle 1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46" name="Rectangle 1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47" name="Rectangle 1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48" name="Rectangle 1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49" name="Rectangle 1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50" name="Rectangle 1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51" name="Rectangle 1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52" name="Rectangle 1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53" name="Rectangle 1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54" name="Rectangle 1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55" name="Rectangle 1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56" name="Rectangle 1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472440</xdr:colOff>
      <xdr:row>3</xdr:row>
      <xdr:rowOff>76200</xdr:rowOff>
    </xdr:from>
    <xdr:to>
      <xdr:col>27</xdr:col>
      <xdr:colOff>556260</xdr:colOff>
      <xdr:row>3</xdr:row>
      <xdr:rowOff>175260</xdr:rowOff>
    </xdr:to>
    <xdr:sp macro="" textlink="">
      <xdr:nvSpPr>
        <xdr:cNvPr id="357" name="Rectangle 1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>
          <a:spLocks noChangeArrowheads="1"/>
        </xdr:cNvSpPr>
      </xdr:nvSpPr>
      <xdr:spPr bwMode="auto">
        <a:xfrm>
          <a:off x="23141940" y="733425"/>
          <a:ext cx="83820" cy="9906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434340</xdr:colOff>
      <xdr:row>3</xdr:row>
      <xdr:rowOff>53340</xdr:rowOff>
    </xdr:from>
    <xdr:to>
      <xdr:col>16</xdr:col>
      <xdr:colOff>556260</xdr:colOff>
      <xdr:row>3</xdr:row>
      <xdr:rowOff>160020</xdr:rowOff>
    </xdr:to>
    <xdr:sp macro="" textlink="">
      <xdr:nvSpPr>
        <xdr:cNvPr id="358" name="Rectangle 1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>
          <a:spLocks noChangeArrowheads="1"/>
        </xdr:cNvSpPr>
      </xdr:nvSpPr>
      <xdr:spPr bwMode="auto">
        <a:xfrm>
          <a:off x="14931390" y="710565"/>
          <a:ext cx="1219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472440</xdr:colOff>
      <xdr:row>3</xdr:row>
      <xdr:rowOff>60960</xdr:rowOff>
    </xdr:from>
    <xdr:to>
      <xdr:col>19</xdr:col>
      <xdr:colOff>556260</xdr:colOff>
      <xdr:row>3</xdr:row>
      <xdr:rowOff>167640</xdr:rowOff>
    </xdr:to>
    <xdr:sp macro="" textlink="">
      <xdr:nvSpPr>
        <xdr:cNvPr id="359" name="Rectangle 1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>
          <a:spLocks noChangeArrowheads="1"/>
        </xdr:cNvSpPr>
      </xdr:nvSpPr>
      <xdr:spPr bwMode="auto">
        <a:xfrm>
          <a:off x="17341215" y="718185"/>
          <a:ext cx="8382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60" name="Rectangle 1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</xdr:row>
      <xdr:rowOff>53340</xdr:rowOff>
    </xdr:from>
    <xdr:to>
      <xdr:col>19</xdr:col>
      <xdr:colOff>556260</xdr:colOff>
      <xdr:row>3</xdr:row>
      <xdr:rowOff>160020</xdr:rowOff>
    </xdr:to>
    <xdr:sp macro="" textlink="">
      <xdr:nvSpPr>
        <xdr:cNvPr id="361" name="Rectangle 1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>
          <a:spLocks noChangeArrowheads="1"/>
        </xdr:cNvSpPr>
      </xdr:nvSpPr>
      <xdr:spPr bwMode="auto">
        <a:xfrm>
          <a:off x="17364075" y="710565"/>
          <a:ext cx="60960" cy="106680"/>
        </a:xfrm>
        <a:prstGeom prst="rect">
          <a:avLst/>
        </a:prstGeom>
        <a:solidFill>
          <a:srgbClr val="F79646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606589</xdr:colOff>
      <xdr:row>6</xdr:row>
      <xdr:rowOff>98795</xdr:rowOff>
    </xdr:from>
    <xdr:ext cx="137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8974501" y="1251400"/>
              <a:ext cx="137537" cy="172227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zh-TW" altLang="en-US" sz="1100" i="1">
                        <a:latin typeface="Cambria Math" panose="02040503050406030204" pitchFamily="18" charset="0"/>
                      </a:rPr>
                      <m:t>≥</m:t>
                    </m:r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82E50E2-6365-4693-906F-1FE920407C5A}"/>
                </a:ext>
              </a:extLst>
            </xdr:cNvPr>
            <xdr:cNvSpPr txBox="1"/>
          </xdr:nvSpPr>
          <xdr:spPr>
            <a:xfrm>
              <a:off x="8974501" y="1251400"/>
              <a:ext cx="137537" cy="172227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zh-TW" altLang="en-US" sz="1100" i="0">
                  <a:latin typeface="Cambria Math" panose="02040503050406030204" pitchFamily="18" charset="0"/>
                </a:rPr>
                <a:t>≥</a:t>
              </a:r>
              <a:endParaRPr lang="zh-TW" altLang="en-US" sz="1100"/>
            </a:p>
          </xdr:txBody>
        </xdr:sp>
      </mc:Fallback>
    </mc:AlternateContent>
    <xdr:clientData/>
  </xdr:oneCellAnchor>
  <xdr:twoCellAnchor>
    <xdr:from>
      <xdr:col>1</xdr:col>
      <xdr:colOff>590550</xdr:colOff>
      <xdr:row>28</xdr:row>
      <xdr:rowOff>200025</xdr:rowOff>
    </xdr:from>
    <xdr:to>
      <xdr:col>3</xdr:col>
      <xdr:colOff>176084</xdr:colOff>
      <xdr:row>29</xdr:row>
      <xdr:rowOff>240375</xdr:rowOff>
    </xdr:to>
    <xdr:grpSp>
      <xdr:nvGrpSpPr>
        <xdr:cNvPr id="3" name="群組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971550" y="8763000"/>
          <a:ext cx="852359" cy="288000"/>
          <a:chOff x="904875" y="9296399"/>
          <a:chExt cx="852359" cy="288000"/>
        </a:xfrm>
      </xdr:grpSpPr>
      <xdr:sp macro="" textlink="WorkSheet!T58">
        <xdr:nvSpPr>
          <xdr:cNvPr id="4" name="文字方塊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904875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5" name="矩形: 圓角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8000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76199</xdr:rowOff>
    </xdr:from>
    <xdr:to>
      <xdr:col>8</xdr:col>
      <xdr:colOff>4634</xdr:colOff>
      <xdr:row>49</xdr:row>
      <xdr:rowOff>2249</xdr:rowOff>
    </xdr:to>
    <xdr:grpSp>
      <xdr:nvGrpSpPr>
        <xdr:cNvPr id="7" name="群組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914400" y="9296399"/>
          <a:ext cx="852359" cy="288000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8000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2250</xdr:rowOff>
    </xdr:to>
    <xdr:grpSp>
      <xdr:nvGrpSpPr>
        <xdr:cNvPr id="7" name="群組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914400" y="9296400"/>
          <a:ext cx="853200" cy="288000"/>
          <a:chOff x="914400" y="9296399"/>
          <a:chExt cx="852359" cy="288000"/>
        </a:xfrm>
      </xdr:grpSpPr>
      <xdr:sp macro="" textlink="WorkSheet!T58">
        <xdr:nvSpPr>
          <xdr:cNvPr id="8" name="文字方塊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9" name="矩形: 圓角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8000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4" name="群組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4" name="群組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4" name="群組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4" name="群組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4" name="群組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5" name="文字方塊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6" name="矩形: 圓角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6" name="文字方塊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7" name="矩形: 圓角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8" name="群組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9" name="文字方塊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10" name="矩形: 圓角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6" name="文字方塊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7" name="矩形: 圓角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47</xdr:row>
      <xdr:rowOff>76200</xdr:rowOff>
    </xdr:from>
    <xdr:to>
      <xdr:col>8</xdr:col>
      <xdr:colOff>5475</xdr:colOff>
      <xdr:row>49</xdr:row>
      <xdr:rowOff>11775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914400" y="9296400"/>
          <a:ext cx="853200" cy="297525"/>
          <a:chOff x="914400" y="9296399"/>
          <a:chExt cx="852359" cy="288000"/>
        </a:xfrm>
      </xdr:grpSpPr>
      <xdr:sp macro="" textlink="WorkSheet!T58">
        <xdr:nvSpPr>
          <xdr:cNvPr id="3" name="文字方塊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 txBox="1"/>
        </xdr:nvSpPr>
        <xdr:spPr>
          <a:xfrm>
            <a:off x="914400" y="9296399"/>
            <a:ext cx="852359" cy="288000"/>
          </a:xfrm>
          <a:prstGeom prst="rect">
            <a:avLst/>
          </a:prstGeom>
          <a:noFill/>
          <a:ln w="38100" cmpd="sng">
            <a:noFill/>
          </a:ln>
          <a:effectLst/>
        </xdr:spPr>
        <xdr:txBody>
          <a:bodyPr vertOverflow="clip" horzOverflow="clip" wrap="square" rtlCol="0" anchor="ctr" anchorCtr="1"/>
          <a:lstStyle/>
          <a:p>
            <a:pPr eaLnBrk="1" fontAlgn="auto" latinLnBrk="0" hangingPunct="1"/>
            <a:fld id="{4FB396D4-0567-4C5D-B772-6D60256C60FE}" type="TxLink">
              <a:rPr lang="zh-TW" altLang="en-US" sz="1400" b="1" i="0" u="none" strike="noStrike" spc="-400" baseline="0">
                <a:solidFill>
                  <a:srgbClr val="000000"/>
                </a:solidFill>
                <a:effectLst/>
                <a:latin typeface="Calibri"/>
                <a:ea typeface="標楷體" panose="03000509000000000000" pitchFamily="65" charset="-120"/>
                <a:cs typeface="Calibri"/>
              </a:rPr>
              <a:pPr eaLnBrk="1" fontAlgn="auto" latinLnBrk="0" hangingPunct="1"/>
              <a:t> </a:t>
            </a:fld>
            <a:endParaRPr lang="zh-TW" altLang="zh-TW" sz="1400" b="1" spc="-400" baseline="0">
              <a:effectLst/>
              <a:latin typeface="標楷體" panose="03000509000000000000" pitchFamily="65" charset="-120"/>
              <a:ea typeface="標楷體" panose="03000509000000000000" pitchFamily="65" charset="-120"/>
            </a:endParaRPr>
          </a:p>
        </xdr:txBody>
      </xdr:sp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>
            <a:spLocks/>
          </xdr:cNvSpPr>
        </xdr:nvSpPr>
        <xdr:spPr>
          <a:xfrm>
            <a:off x="1137751" y="9334541"/>
            <a:ext cx="453600" cy="191661"/>
          </a:xfrm>
          <a:prstGeom prst="roundRect">
            <a:avLst/>
          </a:prstGeom>
          <a:noFill/>
          <a:ln w="25400" cap="flat" cmpd="sng" algn="ctr">
            <a:solidFill>
              <a:srgbClr val="00206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zh-TW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新細明體" panose="02020500000000000000" pitchFamily="18" charset="-120"/>
              <a:cs typeface="+mn-cs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4/=0925&#38651;&#23376;&#31805;&#31456;=&#37325;&#37329;&#23660;&#21069;&#34389;&#29702;&#25209;&#27425;&#34920;_1.2&amp;&#28204;&#35430;&#32000;&#37636;&#34920;_ICP-MS_1.2%20&#31684;&#264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MS"/>
      <sheetName val="樣品清單"/>
      <sheetName val="WorkSheet"/>
      <sheetName val="測試方法"/>
      <sheetName val="RawData"/>
      <sheetName val="Replicates"/>
      <sheetName val="sample1"/>
      <sheetName val="sample2"/>
      <sheetName val="sample3"/>
      <sheetName val="sample4"/>
      <sheetName val="sample5"/>
      <sheetName val="sample6"/>
      <sheetName val="sample7"/>
      <sheetName val="sample8"/>
      <sheetName val="sample9"/>
      <sheetName val="sample10"/>
      <sheetName val="sample11"/>
      <sheetName val="sample12"/>
      <sheetName val="sample13"/>
      <sheetName val="sample14"/>
      <sheetName val="sample15"/>
      <sheetName val="sample16"/>
      <sheetName val="sample17"/>
      <sheetName val="sample18"/>
      <sheetName val="sample19"/>
      <sheetName val="sample20"/>
    </sheetNames>
    <sheetDataSet>
      <sheetData sheetId="0" refreshError="1"/>
      <sheetData sheetId="1">
        <row r="1">
          <cell r="F1" t="str">
            <v>V 51</v>
          </cell>
          <cell r="G1" t="str">
            <v>Cr 52</v>
          </cell>
          <cell r="H1" t="str">
            <v>Mn 55</v>
          </cell>
          <cell r="I1" t="str">
            <v>Co 59</v>
          </cell>
          <cell r="J1" t="str">
            <v>Ni 60</v>
          </cell>
          <cell r="K1" t="str">
            <v>Cu 63</v>
          </cell>
          <cell r="L1" t="str">
            <v>Zn 66</v>
          </cell>
          <cell r="M1" t="str">
            <v>Ge 72</v>
          </cell>
          <cell r="N1" t="str">
            <v>As 75</v>
          </cell>
          <cell r="O1" t="str">
            <v>Se 78</v>
          </cell>
          <cell r="P1" t="str">
            <v>Sr 88</v>
          </cell>
          <cell r="Q1" t="str">
            <v>Zr 90</v>
          </cell>
          <cell r="R1" t="str">
            <v>Mo  96</v>
          </cell>
          <cell r="S1" t="str">
            <v>Cd 111</v>
          </cell>
          <cell r="T1" t="str">
            <v>Sn 120</v>
          </cell>
          <cell r="U1" t="str">
            <v>Sb 121</v>
          </cell>
          <cell r="V1" t="str">
            <v>Ba 138</v>
          </cell>
          <cell r="W1" t="str">
            <v>Hg 202</v>
          </cell>
          <cell r="X1" t="str">
            <v>Pb 208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autoPageBreaks="0" fitToPage="1"/>
  </sheetPr>
  <dimension ref="A1:K1284"/>
  <sheetViews>
    <sheetView zoomScale="85" zoomScaleNormal="85" workbookViewId="0">
      <selection activeCell="G17" sqref="G17"/>
    </sheetView>
  </sheetViews>
  <sheetFormatPr defaultRowHeight="12.75" x14ac:dyDescent="0.2"/>
  <cols>
    <col min="1" max="1" width="11" style="120" bestFit="1" customWidth="1"/>
    <col min="2" max="2" width="12" style="120" bestFit="1" customWidth="1"/>
    <col min="3" max="3" width="7.7109375" style="120" bestFit="1" customWidth="1"/>
    <col min="4" max="5" width="14.140625" style="120" bestFit="1" customWidth="1"/>
    <col min="6" max="6" width="18.42578125" style="120" bestFit="1" customWidth="1"/>
    <col min="7" max="7" width="38.5703125" style="120" bestFit="1" customWidth="1"/>
    <col min="8" max="8" width="38.85546875" style="120" bestFit="1" customWidth="1"/>
    <col min="9" max="9" width="38.5703125" style="120" bestFit="1" customWidth="1"/>
    <col min="10" max="10" width="23" style="120" bestFit="1" customWidth="1"/>
    <col min="11" max="11" width="28.28515625" style="120" bestFit="1" customWidth="1"/>
    <col min="12" max="256" width="9.140625" style="120"/>
    <col min="257" max="267" width="35.140625" style="120" customWidth="1"/>
    <col min="268" max="512" width="9.140625" style="120"/>
    <col min="513" max="523" width="35.140625" style="120" customWidth="1"/>
    <col min="524" max="768" width="9.140625" style="120"/>
    <col min="769" max="779" width="35.140625" style="120" customWidth="1"/>
    <col min="780" max="1024" width="9.140625" style="120"/>
    <col min="1025" max="1035" width="35.140625" style="120" customWidth="1"/>
    <col min="1036" max="1280" width="9.140625" style="120"/>
    <col min="1281" max="1291" width="35.140625" style="120" customWidth="1"/>
    <col min="1292" max="1536" width="9.140625" style="120"/>
    <col min="1537" max="1547" width="35.140625" style="120" customWidth="1"/>
    <col min="1548" max="1792" width="9.140625" style="120"/>
    <col min="1793" max="1803" width="35.140625" style="120" customWidth="1"/>
    <col min="1804" max="2048" width="9.140625" style="120"/>
    <col min="2049" max="2059" width="35.140625" style="120" customWidth="1"/>
    <col min="2060" max="2304" width="9.140625" style="120"/>
    <col min="2305" max="2315" width="35.140625" style="120" customWidth="1"/>
    <col min="2316" max="2560" width="9.140625" style="120"/>
    <col min="2561" max="2571" width="35.140625" style="120" customWidth="1"/>
    <col min="2572" max="2816" width="9.140625" style="120"/>
    <col min="2817" max="2827" width="35.140625" style="120" customWidth="1"/>
    <col min="2828" max="3072" width="9.140625" style="120"/>
    <col min="3073" max="3083" width="35.140625" style="120" customWidth="1"/>
    <col min="3084" max="3328" width="9.140625" style="120"/>
    <col min="3329" max="3339" width="35.140625" style="120" customWidth="1"/>
    <col min="3340" max="3584" width="9.140625" style="120"/>
    <col min="3585" max="3595" width="35.140625" style="120" customWidth="1"/>
    <col min="3596" max="3840" width="9.140625" style="120"/>
    <col min="3841" max="3851" width="35.140625" style="120" customWidth="1"/>
    <col min="3852" max="4096" width="9.140625" style="120"/>
    <col min="4097" max="4107" width="35.140625" style="120" customWidth="1"/>
    <col min="4108" max="4352" width="9.140625" style="120"/>
    <col min="4353" max="4363" width="35.140625" style="120" customWidth="1"/>
    <col min="4364" max="4608" width="9.140625" style="120"/>
    <col min="4609" max="4619" width="35.140625" style="120" customWidth="1"/>
    <col min="4620" max="4864" width="9.140625" style="120"/>
    <col min="4865" max="4875" width="35.140625" style="120" customWidth="1"/>
    <col min="4876" max="5120" width="9.140625" style="120"/>
    <col min="5121" max="5131" width="35.140625" style="120" customWidth="1"/>
    <col min="5132" max="5376" width="9.140625" style="120"/>
    <col min="5377" max="5387" width="35.140625" style="120" customWidth="1"/>
    <col min="5388" max="5632" width="9.140625" style="120"/>
    <col min="5633" max="5643" width="35.140625" style="120" customWidth="1"/>
    <col min="5644" max="5888" width="9.140625" style="120"/>
    <col min="5889" max="5899" width="35.140625" style="120" customWidth="1"/>
    <col min="5900" max="6144" width="9.140625" style="120"/>
    <col min="6145" max="6155" width="35.140625" style="120" customWidth="1"/>
    <col min="6156" max="6400" width="9.140625" style="120"/>
    <col min="6401" max="6411" width="35.140625" style="120" customWidth="1"/>
    <col min="6412" max="6656" width="9.140625" style="120"/>
    <col min="6657" max="6667" width="35.140625" style="120" customWidth="1"/>
    <col min="6668" max="6912" width="9.140625" style="120"/>
    <col min="6913" max="6923" width="35.140625" style="120" customWidth="1"/>
    <col min="6924" max="7168" width="9.140625" style="120"/>
    <col min="7169" max="7179" width="35.140625" style="120" customWidth="1"/>
    <col min="7180" max="7424" width="9.140625" style="120"/>
    <col min="7425" max="7435" width="35.140625" style="120" customWidth="1"/>
    <col min="7436" max="7680" width="9.140625" style="120"/>
    <col min="7681" max="7691" width="35.140625" style="120" customWidth="1"/>
    <col min="7692" max="7936" width="9.140625" style="120"/>
    <col min="7937" max="7947" width="35.140625" style="120" customWidth="1"/>
    <col min="7948" max="8192" width="9.140625" style="120"/>
    <col min="8193" max="8203" width="35.140625" style="120" customWidth="1"/>
    <col min="8204" max="8448" width="9.140625" style="120"/>
    <col min="8449" max="8459" width="35.140625" style="120" customWidth="1"/>
    <col min="8460" max="8704" width="9.140625" style="120"/>
    <col min="8705" max="8715" width="35.140625" style="120" customWidth="1"/>
    <col min="8716" max="8960" width="9.140625" style="120"/>
    <col min="8961" max="8971" width="35.140625" style="120" customWidth="1"/>
    <col min="8972" max="9216" width="9.140625" style="120"/>
    <col min="9217" max="9227" width="35.140625" style="120" customWidth="1"/>
    <col min="9228" max="9472" width="9.140625" style="120"/>
    <col min="9473" max="9483" width="35.140625" style="120" customWidth="1"/>
    <col min="9484" max="9728" width="9.140625" style="120"/>
    <col min="9729" max="9739" width="35.140625" style="120" customWidth="1"/>
    <col min="9740" max="9984" width="9.140625" style="120"/>
    <col min="9985" max="9995" width="35.140625" style="120" customWidth="1"/>
    <col min="9996" max="10240" width="9.140625" style="120"/>
    <col min="10241" max="10251" width="35.140625" style="120" customWidth="1"/>
    <col min="10252" max="10496" width="9.140625" style="120"/>
    <col min="10497" max="10507" width="35.140625" style="120" customWidth="1"/>
    <col min="10508" max="10752" width="9.140625" style="120"/>
    <col min="10753" max="10763" width="35.140625" style="120" customWidth="1"/>
    <col min="10764" max="11008" width="9.140625" style="120"/>
    <col min="11009" max="11019" width="35.140625" style="120" customWidth="1"/>
    <col min="11020" max="11264" width="9.140625" style="120"/>
    <col min="11265" max="11275" width="35.140625" style="120" customWidth="1"/>
    <col min="11276" max="11520" width="9.140625" style="120"/>
    <col min="11521" max="11531" width="35.140625" style="120" customWidth="1"/>
    <col min="11532" max="11776" width="9.140625" style="120"/>
    <col min="11777" max="11787" width="35.140625" style="120" customWidth="1"/>
    <col min="11788" max="12032" width="9.140625" style="120"/>
    <col min="12033" max="12043" width="35.140625" style="120" customWidth="1"/>
    <col min="12044" max="12288" width="9.140625" style="120"/>
    <col min="12289" max="12299" width="35.140625" style="120" customWidth="1"/>
    <col min="12300" max="12544" width="9.140625" style="120"/>
    <col min="12545" max="12555" width="35.140625" style="120" customWidth="1"/>
    <col min="12556" max="12800" width="9.140625" style="120"/>
    <col min="12801" max="12811" width="35.140625" style="120" customWidth="1"/>
    <col min="12812" max="13056" width="9.140625" style="120"/>
    <col min="13057" max="13067" width="35.140625" style="120" customWidth="1"/>
    <col min="13068" max="13312" width="9.140625" style="120"/>
    <col min="13313" max="13323" width="35.140625" style="120" customWidth="1"/>
    <col min="13324" max="13568" width="9.140625" style="120"/>
    <col min="13569" max="13579" width="35.140625" style="120" customWidth="1"/>
    <col min="13580" max="13824" width="9.140625" style="120"/>
    <col min="13825" max="13835" width="35.140625" style="120" customWidth="1"/>
    <col min="13836" max="14080" width="9.140625" style="120"/>
    <col min="14081" max="14091" width="35.140625" style="120" customWidth="1"/>
    <col min="14092" max="14336" width="9.140625" style="120"/>
    <col min="14337" max="14347" width="35.140625" style="120" customWidth="1"/>
    <col min="14348" max="14592" width="9.140625" style="120"/>
    <col min="14593" max="14603" width="35.140625" style="120" customWidth="1"/>
    <col min="14604" max="14848" width="9.140625" style="120"/>
    <col min="14849" max="14859" width="35.140625" style="120" customWidth="1"/>
    <col min="14860" max="15104" width="9.140625" style="120"/>
    <col min="15105" max="15115" width="35.140625" style="120" customWidth="1"/>
    <col min="15116" max="15360" width="9.140625" style="120"/>
    <col min="15361" max="15371" width="35.140625" style="120" customWidth="1"/>
    <col min="15372" max="15616" width="9.140625" style="120"/>
    <col min="15617" max="15627" width="35.140625" style="120" customWidth="1"/>
    <col min="15628" max="15872" width="9.140625" style="120"/>
    <col min="15873" max="15883" width="35.140625" style="120" customWidth="1"/>
    <col min="15884" max="16128" width="9.140625" style="120"/>
    <col min="16129" max="16139" width="35.140625" style="120" customWidth="1"/>
    <col min="16140" max="16384" width="9.140625" style="120"/>
  </cols>
  <sheetData>
    <row r="1" spans="1:11" s="127" customFormat="1" ht="14.25" x14ac:dyDescent="0.2">
      <c r="A1" s="125" t="s">
        <v>148</v>
      </c>
      <c r="B1" s="125" t="s">
        <v>149</v>
      </c>
      <c r="C1" s="185" t="s">
        <v>150</v>
      </c>
      <c r="D1" s="185" t="s">
        <v>151</v>
      </c>
      <c r="E1" s="125" t="s">
        <v>152</v>
      </c>
      <c r="F1" s="125" t="s">
        <v>153</v>
      </c>
      <c r="G1" s="185" t="s">
        <v>154</v>
      </c>
      <c r="H1" s="185" t="s">
        <v>155</v>
      </c>
      <c r="I1" s="125" t="s">
        <v>35</v>
      </c>
      <c r="J1" s="126" t="s">
        <v>156</v>
      </c>
      <c r="K1" s="125" t="s">
        <v>79</v>
      </c>
    </row>
    <row r="2" spans="1:11" ht="15.75" x14ac:dyDescent="0.2">
      <c r="A2" s="116"/>
      <c r="B2" s="183"/>
      <c r="C2" s="188"/>
      <c r="D2" s="188"/>
      <c r="E2" s="184"/>
      <c r="F2" s="214"/>
      <c r="G2" s="188"/>
      <c r="H2" s="188"/>
      <c r="I2" s="184"/>
      <c r="J2" s="117"/>
      <c r="K2" s="117"/>
    </row>
    <row r="3" spans="1:11" ht="15.75" x14ac:dyDescent="0.2">
      <c r="A3" s="116"/>
      <c r="B3" s="183"/>
      <c r="C3" s="188"/>
      <c r="D3" s="188"/>
      <c r="E3" s="184"/>
      <c r="F3" s="117"/>
      <c r="G3" s="186"/>
      <c r="H3" s="187"/>
      <c r="I3" s="117"/>
      <c r="J3" s="117"/>
      <c r="K3" s="117"/>
    </row>
    <row r="4" spans="1:11" ht="15.75" x14ac:dyDescent="0.2">
      <c r="A4" s="116"/>
      <c r="B4" s="129"/>
      <c r="C4" s="186"/>
      <c r="D4" s="187"/>
      <c r="E4" s="117"/>
      <c r="F4" s="117"/>
      <c r="G4" s="117"/>
      <c r="H4" s="117"/>
      <c r="I4" s="117"/>
      <c r="J4" s="117"/>
      <c r="K4" s="117"/>
    </row>
    <row r="5" spans="1:11" ht="15.75" x14ac:dyDescent="0.2">
      <c r="A5" s="116"/>
      <c r="B5" s="129"/>
      <c r="C5" s="129"/>
      <c r="D5" s="117"/>
      <c r="E5" s="117"/>
      <c r="F5" s="117"/>
      <c r="G5" s="118"/>
      <c r="H5" s="119"/>
      <c r="I5" s="117"/>
      <c r="J5" s="117"/>
      <c r="K5" s="117"/>
    </row>
    <row r="6" spans="1:11" ht="15.75" x14ac:dyDescent="0.2">
      <c r="A6" s="117"/>
      <c r="B6" s="129"/>
      <c r="C6" s="129"/>
      <c r="D6" s="117"/>
      <c r="E6" s="117"/>
      <c r="F6" s="117"/>
      <c r="G6" s="117"/>
      <c r="H6" s="117"/>
      <c r="I6" s="117"/>
      <c r="J6" s="117"/>
      <c r="K6" s="117"/>
    </row>
    <row r="7" spans="1:11" ht="15.75" x14ac:dyDescent="0.2">
      <c r="A7" s="117"/>
      <c r="B7" s="129"/>
      <c r="C7" s="129"/>
      <c r="D7" s="117"/>
      <c r="E7" s="117"/>
      <c r="F7" s="117"/>
      <c r="G7" s="117"/>
      <c r="H7" s="117"/>
      <c r="I7" s="117"/>
      <c r="J7" s="117"/>
      <c r="K7" s="117"/>
    </row>
    <row r="8" spans="1:11" ht="15.75" x14ac:dyDescent="0.2">
      <c r="A8" s="117"/>
      <c r="B8" s="129"/>
      <c r="C8" s="129"/>
      <c r="D8" s="117"/>
      <c r="E8" s="117"/>
      <c r="F8" s="117"/>
      <c r="G8" s="117"/>
      <c r="H8" s="117"/>
      <c r="I8" s="117"/>
      <c r="J8" s="117"/>
      <c r="K8" s="117"/>
    </row>
    <row r="9" spans="1:11" ht="15.75" x14ac:dyDescent="0.2">
      <c r="A9" s="117"/>
      <c r="B9" s="129"/>
      <c r="C9" s="129"/>
      <c r="D9" s="117"/>
      <c r="E9" s="117"/>
      <c r="F9" s="117"/>
      <c r="G9" s="117"/>
      <c r="H9" s="117"/>
      <c r="I9" s="117"/>
      <c r="J9" s="117"/>
      <c r="K9" s="117"/>
    </row>
    <row r="10" spans="1:11" ht="15.75" x14ac:dyDescent="0.2">
      <c r="A10" s="117"/>
      <c r="B10" s="129"/>
      <c r="C10" s="129"/>
      <c r="D10" s="117"/>
      <c r="E10" s="117"/>
      <c r="F10" s="117"/>
      <c r="G10" s="117"/>
      <c r="H10" s="117"/>
      <c r="I10" s="117"/>
      <c r="J10" s="117"/>
      <c r="K10" s="117"/>
    </row>
    <row r="11" spans="1:11" ht="15.75" x14ac:dyDescent="0.2">
      <c r="A11" s="117"/>
      <c r="B11" s="129"/>
      <c r="C11" s="129"/>
      <c r="D11" s="117"/>
      <c r="E11" s="117"/>
      <c r="F11" s="117"/>
      <c r="G11" s="117"/>
      <c r="H11" s="117"/>
      <c r="I11" s="117"/>
      <c r="J11" s="117"/>
      <c r="K11" s="117"/>
    </row>
    <row r="12" spans="1:11" ht="15.75" x14ac:dyDescent="0.2">
      <c r="A12" s="117"/>
      <c r="B12" s="129"/>
      <c r="C12" s="129"/>
      <c r="D12" s="117"/>
      <c r="E12" s="117"/>
      <c r="F12" s="117"/>
      <c r="G12" s="117"/>
      <c r="H12" s="117"/>
      <c r="I12" s="117"/>
      <c r="J12" s="117"/>
      <c r="K12" s="117"/>
    </row>
    <row r="13" spans="1:11" ht="15.75" x14ac:dyDescent="0.2">
      <c r="A13" s="117"/>
      <c r="B13" s="129"/>
      <c r="C13" s="129"/>
      <c r="D13" s="117"/>
      <c r="E13" s="117"/>
      <c r="F13" s="117"/>
      <c r="G13" s="117"/>
      <c r="H13" s="117"/>
      <c r="I13" s="117"/>
      <c r="J13" s="117"/>
      <c r="K13" s="117"/>
    </row>
    <row r="14" spans="1:11" ht="15.75" x14ac:dyDescent="0.2">
      <c r="A14" s="117"/>
      <c r="B14" s="129"/>
      <c r="C14" s="129"/>
      <c r="D14" s="117"/>
      <c r="E14" s="117"/>
      <c r="F14" s="117"/>
      <c r="G14" s="117"/>
      <c r="H14" s="117"/>
      <c r="I14" s="117"/>
      <c r="J14" s="117"/>
      <c r="K14" s="117"/>
    </row>
    <row r="15" spans="1:11" ht="15.75" x14ac:dyDescent="0.2">
      <c r="A15" s="117"/>
      <c r="B15" s="129"/>
      <c r="C15" s="129"/>
      <c r="D15" s="117"/>
      <c r="E15" s="117"/>
      <c r="F15" s="117"/>
      <c r="G15" s="117"/>
      <c r="H15" s="117"/>
      <c r="I15" s="117"/>
      <c r="J15" s="117"/>
      <c r="K15" s="117"/>
    </row>
    <row r="16" spans="1:11" ht="15.75" x14ac:dyDescent="0.2">
      <c r="A16" s="117"/>
      <c r="B16" s="129"/>
      <c r="C16" s="129"/>
      <c r="D16" s="117"/>
      <c r="E16" s="117"/>
      <c r="F16" s="117"/>
      <c r="G16" s="117"/>
      <c r="H16" s="117"/>
      <c r="I16" s="117"/>
      <c r="J16" s="117"/>
      <c r="K16" s="117"/>
    </row>
    <row r="17" spans="1:11" ht="15.75" x14ac:dyDescent="0.2">
      <c r="A17" s="117"/>
      <c r="B17" s="129"/>
      <c r="C17" s="129"/>
      <c r="D17" s="117"/>
      <c r="E17" s="117"/>
      <c r="F17" s="117"/>
      <c r="G17" s="117"/>
      <c r="H17" s="117"/>
      <c r="I17" s="117"/>
      <c r="J17" s="117"/>
      <c r="K17" s="117"/>
    </row>
    <row r="18" spans="1:11" ht="15.75" x14ac:dyDescent="0.2">
      <c r="A18" s="117"/>
      <c r="B18" s="129"/>
      <c r="C18" s="129"/>
      <c r="D18" s="117"/>
      <c r="E18" s="117"/>
      <c r="F18" s="117"/>
      <c r="G18" s="117"/>
      <c r="H18" s="117"/>
      <c r="I18" s="117"/>
      <c r="J18" s="117"/>
      <c r="K18" s="117"/>
    </row>
    <row r="19" spans="1:11" ht="15.75" x14ac:dyDescent="0.2">
      <c r="A19" s="117"/>
      <c r="B19" s="129"/>
      <c r="C19" s="129"/>
      <c r="D19" s="117"/>
      <c r="E19" s="117"/>
      <c r="F19" s="117"/>
      <c r="G19" s="117"/>
      <c r="H19" s="117"/>
      <c r="I19" s="117"/>
      <c r="J19" s="117"/>
      <c r="K19" s="117"/>
    </row>
    <row r="20" spans="1:11" ht="15.75" x14ac:dyDescent="0.2">
      <c r="A20" s="117"/>
      <c r="B20" s="129"/>
      <c r="C20" s="129"/>
      <c r="D20" s="117"/>
      <c r="E20" s="117"/>
      <c r="F20" s="117"/>
      <c r="G20" s="117"/>
      <c r="H20" s="117"/>
      <c r="I20" s="117"/>
      <c r="J20" s="117"/>
      <c r="K20" s="117"/>
    </row>
    <row r="21" spans="1:11" ht="15.75" x14ac:dyDescent="0.2">
      <c r="A21" s="117"/>
      <c r="B21" s="129"/>
      <c r="C21" s="129"/>
      <c r="D21" s="117"/>
      <c r="E21" s="117"/>
      <c r="F21" s="117"/>
      <c r="G21" s="117"/>
      <c r="H21" s="117"/>
      <c r="I21" s="117"/>
      <c r="J21" s="117"/>
      <c r="K21" s="117"/>
    </row>
    <row r="22" spans="1:11" ht="15.75" x14ac:dyDescent="0.2">
      <c r="A22" s="117"/>
      <c r="B22" s="129"/>
      <c r="C22" s="129"/>
      <c r="D22" s="117"/>
      <c r="E22" s="117"/>
      <c r="F22" s="117"/>
      <c r="G22" s="117"/>
      <c r="H22" s="117"/>
      <c r="I22" s="117"/>
      <c r="J22" s="117"/>
      <c r="K22" s="117"/>
    </row>
    <row r="23" spans="1:11" ht="15.75" x14ac:dyDescent="0.2">
      <c r="A23" s="117"/>
      <c r="B23" s="129"/>
      <c r="C23" s="129"/>
      <c r="D23" s="117"/>
      <c r="E23" s="117"/>
      <c r="F23" s="117"/>
      <c r="G23" s="117"/>
      <c r="H23" s="117"/>
      <c r="I23" s="117"/>
      <c r="J23" s="117"/>
      <c r="K23" s="117"/>
    </row>
    <row r="24" spans="1:11" ht="15.75" x14ac:dyDescent="0.2">
      <c r="A24" s="117"/>
      <c r="B24" s="129"/>
      <c r="C24" s="129"/>
      <c r="D24" s="117"/>
      <c r="E24" s="117"/>
      <c r="F24" s="117"/>
      <c r="G24" s="117"/>
      <c r="H24" s="117"/>
      <c r="I24" s="117"/>
      <c r="J24" s="117"/>
      <c r="K24" s="117"/>
    </row>
    <row r="25" spans="1:11" ht="15.75" x14ac:dyDescent="0.2">
      <c r="A25" s="117"/>
      <c r="B25" s="129"/>
      <c r="C25" s="129"/>
      <c r="D25" s="117"/>
      <c r="E25" s="117"/>
      <c r="F25" s="117"/>
      <c r="G25" s="117"/>
      <c r="H25" s="117"/>
      <c r="I25" s="117"/>
      <c r="J25" s="117"/>
      <c r="K25" s="117"/>
    </row>
    <row r="26" spans="1:11" ht="15.75" x14ac:dyDescent="0.2">
      <c r="A26" s="117"/>
      <c r="B26" s="129"/>
      <c r="C26" s="129"/>
      <c r="D26" s="117"/>
      <c r="E26" s="117"/>
      <c r="F26" s="117"/>
      <c r="G26" s="117"/>
      <c r="H26" s="117"/>
      <c r="I26" s="117"/>
      <c r="J26" s="117"/>
      <c r="K26" s="117"/>
    </row>
    <row r="27" spans="1:11" ht="15.75" x14ac:dyDescent="0.2">
      <c r="A27" s="117"/>
      <c r="B27" s="129"/>
      <c r="C27" s="129"/>
      <c r="D27" s="117"/>
      <c r="E27" s="117"/>
      <c r="F27" s="117"/>
      <c r="G27" s="117"/>
      <c r="H27" s="117"/>
      <c r="I27" s="117"/>
      <c r="J27" s="117"/>
      <c r="K27" s="117"/>
    </row>
    <row r="28" spans="1:11" ht="15.75" x14ac:dyDescent="0.2">
      <c r="A28" s="117"/>
      <c r="B28" s="129"/>
      <c r="C28" s="129"/>
      <c r="D28" s="117"/>
      <c r="E28" s="117"/>
      <c r="F28" s="117"/>
      <c r="G28" s="117"/>
      <c r="H28" s="117"/>
      <c r="I28" s="117"/>
      <c r="J28" s="117"/>
      <c r="K28" s="117"/>
    </row>
    <row r="29" spans="1:11" ht="15.75" x14ac:dyDescent="0.2">
      <c r="A29" s="117"/>
      <c r="B29" s="129"/>
      <c r="C29" s="129"/>
      <c r="D29" s="117"/>
      <c r="E29" s="117"/>
      <c r="F29" s="117"/>
      <c r="G29" s="117"/>
      <c r="H29" s="117"/>
      <c r="I29" s="117"/>
      <c r="J29" s="117"/>
      <c r="K29" s="117"/>
    </row>
    <row r="30" spans="1:11" ht="15.75" x14ac:dyDescent="0.2">
      <c r="A30" s="117"/>
      <c r="B30" s="129"/>
      <c r="C30" s="129"/>
      <c r="D30" s="117"/>
      <c r="E30" s="117"/>
      <c r="F30" s="117"/>
      <c r="G30" s="117"/>
      <c r="H30" s="117"/>
      <c r="I30" s="117"/>
      <c r="J30" s="117"/>
      <c r="K30" s="117"/>
    </row>
    <row r="31" spans="1:11" ht="15.75" x14ac:dyDescent="0.2">
      <c r="A31" s="117"/>
      <c r="B31" s="129"/>
      <c r="C31" s="129"/>
      <c r="D31" s="117"/>
      <c r="E31" s="117"/>
      <c r="F31" s="117"/>
      <c r="G31" s="117"/>
      <c r="H31" s="117"/>
      <c r="I31" s="117"/>
      <c r="J31" s="117"/>
      <c r="K31" s="117"/>
    </row>
    <row r="32" spans="1:11" ht="15.75" x14ac:dyDescent="0.2">
      <c r="A32" s="117"/>
      <c r="B32" s="129"/>
      <c r="C32" s="129"/>
      <c r="D32" s="117"/>
      <c r="E32" s="117"/>
      <c r="F32" s="117"/>
      <c r="G32" s="117"/>
      <c r="H32" s="117"/>
      <c r="I32" s="117"/>
      <c r="J32" s="117"/>
      <c r="K32" s="117"/>
    </row>
    <row r="33" spans="1:11" ht="15.75" x14ac:dyDescent="0.2">
      <c r="A33" s="117"/>
      <c r="B33" s="129"/>
      <c r="C33" s="129"/>
      <c r="D33" s="117"/>
      <c r="E33" s="117"/>
      <c r="F33" s="117"/>
      <c r="G33" s="117"/>
      <c r="H33" s="117"/>
      <c r="I33" s="117"/>
      <c r="J33" s="117"/>
      <c r="K33" s="117"/>
    </row>
    <row r="34" spans="1:11" ht="15.75" x14ac:dyDescent="0.2">
      <c r="A34" s="117"/>
      <c r="B34" s="129"/>
      <c r="C34" s="129"/>
      <c r="D34" s="117"/>
      <c r="E34" s="117"/>
      <c r="F34" s="117"/>
      <c r="G34" s="117"/>
      <c r="H34" s="117"/>
      <c r="I34" s="117"/>
      <c r="J34" s="117"/>
      <c r="K34" s="117"/>
    </row>
    <row r="35" spans="1:11" ht="15.75" x14ac:dyDescent="0.2">
      <c r="A35" s="117"/>
      <c r="B35" s="129"/>
      <c r="C35" s="129"/>
      <c r="D35" s="117"/>
      <c r="E35" s="117"/>
      <c r="F35" s="117"/>
      <c r="G35" s="117"/>
      <c r="H35" s="117"/>
      <c r="I35" s="117"/>
      <c r="J35" s="117"/>
      <c r="K35" s="117"/>
    </row>
    <row r="36" spans="1:11" ht="15.75" x14ac:dyDescent="0.2">
      <c r="A36" s="117"/>
      <c r="B36" s="129"/>
      <c r="C36" s="129"/>
      <c r="D36" s="117"/>
      <c r="E36" s="117"/>
      <c r="F36" s="117"/>
      <c r="G36" s="117"/>
      <c r="H36" s="117"/>
      <c r="I36" s="117"/>
      <c r="J36" s="117"/>
      <c r="K36" s="117"/>
    </row>
    <row r="37" spans="1:11" ht="15.75" x14ac:dyDescent="0.2">
      <c r="A37" s="117"/>
      <c r="B37" s="129"/>
      <c r="C37" s="129"/>
      <c r="D37" s="117"/>
      <c r="E37" s="117"/>
      <c r="F37" s="117"/>
      <c r="G37" s="117"/>
      <c r="H37" s="117"/>
      <c r="I37" s="117"/>
      <c r="J37" s="117"/>
      <c r="K37" s="117"/>
    </row>
    <row r="38" spans="1:11" ht="15.75" x14ac:dyDescent="0.2">
      <c r="A38" s="117"/>
      <c r="B38" s="129"/>
      <c r="C38" s="129"/>
      <c r="D38" s="117"/>
      <c r="E38" s="117"/>
      <c r="F38" s="117"/>
      <c r="G38" s="117"/>
      <c r="H38" s="117"/>
      <c r="I38" s="117"/>
      <c r="J38" s="117"/>
      <c r="K38" s="117"/>
    </row>
    <row r="39" spans="1:11" ht="15.75" x14ac:dyDescent="0.2">
      <c r="A39" s="117"/>
      <c r="B39" s="129"/>
      <c r="C39" s="129"/>
      <c r="D39" s="117"/>
      <c r="E39" s="117"/>
      <c r="F39" s="117"/>
      <c r="G39" s="117"/>
      <c r="H39" s="117"/>
      <c r="I39" s="117"/>
      <c r="J39" s="117"/>
      <c r="K39" s="117"/>
    </row>
    <row r="40" spans="1:11" ht="15.75" x14ac:dyDescent="0.2">
      <c r="A40" s="117"/>
      <c r="B40" s="117"/>
      <c r="C40" s="117"/>
      <c r="D40" s="117"/>
      <c r="E40" s="117"/>
      <c r="F40" s="117"/>
      <c r="G40" s="117"/>
      <c r="H40" s="117"/>
      <c r="I40" s="117"/>
      <c r="J40" s="117"/>
      <c r="K40" s="117"/>
    </row>
    <row r="41" spans="1:11" ht="15.75" x14ac:dyDescent="0.2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</row>
    <row r="42" spans="1:11" ht="15.75" x14ac:dyDescent="0.2">
      <c r="A42" s="117"/>
      <c r="B42" s="117"/>
      <c r="C42" s="117"/>
      <c r="D42" s="117"/>
      <c r="E42" s="117"/>
      <c r="F42" s="117"/>
      <c r="G42" s="117"/>
      <c r="H42" s="117"/>
      <c r="I42" s="117"/>
      <c r="J42" s="117"/>
      <c r="K42" s="117"/>
    </row>
    <row r="43" spans="1:11" ht="15.75" x14ac:dyDescent="0.2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</row>
    <row r="44" spans="1:11" ht="15.75" x14ac:dyDescent="0.2">
      <c r="A44" s="117"/>
      <c r="B44" s="117"/>
      <c r="C44" s="117"/>
      <c r="D44" s="117"/>
      <c r="E44" s="117"/>
      <c r="F44" s="117"/>
      <c r="G44" s="117"/>
      <c r="H44" s="117"/>
      <c r="I44" s="117"/>
      <c r="J44" s="117"/>
      <c r="K44" s="117"/>
    </row>
    <row r="45" spans="1:11" ht="15.75" x14ac:dyDescent="0.2">
      <c r="A45" s="117"/>
      <c r="B45" s="117"/>
      <c r="C45" s="117"/>
      <c r="D45" s="117"/>
      <c r="E45" s="117"/>
      <c r="F45" s="117"/>
      <c r="G45" s="117"/>
      <c r="H45" s="117"/>
      <c r="I45" s="117"/>
      <c r="J45" s="117"/>
      <c r="K45" s="117"/>
    </row>
    <row r="46" spans="1:11" ht="15.75" x14ac:dyDescent="0.2">
      <c r="A46" s="117"/>
      <c r="B46" s="117"/>
      <c r="C46" s="117"/>
      <c r="D46" s="117"/>
      <c r="E46" s="117"/>
      <c r="F46" s="117"/>
      <c r="G46" s="117"/>
      <c r="H46" s="117"/>
      <c r="I46" s="117"/>
      <c r="J46" s="117"/>
      <c r="K46" s="117"/>
    </row>
    <row r="47" spans="1:11" ht="15.75" x14ac:dyDescent="0.2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</row>
    <row r="48" spans="1:11" ht="15.75" x14ac:dyDescent="0.2">
      <c r="A48" s="117"/>
      <c r="B48" s="117"/>
      <c r="C48" s="117"/>
      <c r="D48" s="117"/>
      <c r="E48" s="117"/>
      <c r="F48" s="117"/>
      <c r="G48" s="117"/>
      <c r="H48" s="117"/>
      <c r="I48" s="117"/>
      <c r="J48" s="117"/>
      <c r="K48" s="117"/>
    </row>
    <row r="49" spans="1:11" ht="15.75" x14ac:dyDescent="0.2">
      <c r="A49" s="117"/>
      <c r="B49" s="117"/>
      <c r="C49" s="117"/>
      <c r="D49" s="117"/>
      <c r="E49" s="117"/>
      <c r="F49" s="117"/>
      <c r="G49" s="117"/>
      <c r="H49" s="117"/>
      <c r="I49" s="117"/>
      <c r="J49" s="117"/>
      <c r="K49" s="117"/>
    </row>
    <row r="50" spans="1:11" ht="15.75" x14ac:dyDescent="0.2">
      <c r="A50" s="117"/>
      <c r="B50" s="117"/>
      <c r="C50" s="117"/>
      <c r="D50" s="117"/>
      <c r="E50" s="117"/>
      <c r="F50" s="117"/>
      <c r="G50" s="117"/>
      <c r="H50" s="117"/>
      <c r="I50" s="117"/>
      <c r="J50" s="117"/>
      <c r="K50" s="117"/>
    </row>
    <row r="51" spans="1:11" ht="15.75" x14ac:dyDescent="0.2">
      <c r="A51" s="117"/>
      <c r="B51" s="117"/>
      <c r="C51" s="117"/>
      <c r="D51" s="117"/>
      <c r="E51" s="117"/>
      <c r="F51" s="117"/>
      <c r="G51" s="117"/>
      <c r="H51" s="117"/>
      <c r="I51" s="117"/>
      <c r="J51" s="117"/>
      <c r="K51" s="117"/>
    </row>
    <row r="52" spans="1:11" ht="15.75" x14ac:dyDescent="0.2">
      <c r="A52" s="117"/>
      <c r="B52" s="117"/>
      <c r="C52" s="117"/>
      <c r="D52" s="117"/>
      <c r="E52" s="117"/>
      <c r="F52" s="117"/>
      <c r="G52" s="117"/>
      <c r="H52" s="117"/>
      <c r="I52" s="117"/>
      <c r="J52" s="117"/>
      <c r="K52" s="117"/>
    </row>
    <row r="53" spans="1:11" ht="15.75" x14ac:dyDescent="0.2">
      <c r="A53" s="117"/>
      <c r="B53" s="117"/>
      <c r="C53" s="117"/>
      <c r="D53" s="117"/>
      <c r="E53" s="117"/>
      <c r="F53" s="117"/>
      <c r="G53" s="117"/>
      <c r="H53" s="117"/>
      <c r="I53" s="117"/>
      <c r="J53" s="117"/>
      <c r="K53" s="117"/>
    </row>
    <row r="54" spans="1:11" ht="15.75" x14ac:dyDescent="0.2">
      <c r="A54" s="117"/>
      <c r="B54" s="117"/>
      <c r="C54" s="117"/>
      <c r="D54" s="117"/>
      <c r="E54" s="117"/>
      <c r="F54" s="117"/>
      <c r="G54" s="117"/>
      <c r="H54" s="117"/>
      <c r="I54" s="117"/>
      <c r="J54" s="117"/>
      <c r="K54" s="117"/>
    </row>
    <row r="55" spans="1:11" ht="15.75" x14ac:dyDescent="0.2">
      <c r="A55" s="117"/>
      <c r="B55" s="117"/>
      <c r="C55" s="117"/>
      <c r="D55" s="117"/>
      <c r="E55" s="117"/>
      <c r="F55" s="117"/>
      <c r="G55" s="117"/>
      <c r="H55" s="117"/>
      <c r="I55" s="117"/>
      <c r="J55" s="117"/>
      <c r="K55" s="117"/>
    </row>
    <row r="56" spans="1:11" ht="15.75" x14ac:dyDescent="0.2">
      <c r="A56" s="117"/>
      <c r="B56" s="117"/>
      <c r="C56" s="117"/>
      <c r="D56" s="117"/>
      <c r="E56" s="117"/>
      <c r="F56" s="117"/>
      <c r="G56" s="117"/>
      <c r="H56" s="117"/>
      <c r="I56" s="117"/>
      <c r="J56" s="117"/>
      <c r="K56" s="117"/>
    </row>
    <row r="57" spans="1:11" ht="15.75" x14ac:dyDescent="0.2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17"/>
    </row>
    <row r="58" spans="1:11" ht="15.75" x14ac:dyDescent="0.2">
      <c r="A58" s="117"/>
      <c r="B58" s="117"/>
      <c r="C58" s="117"/>
      <c r="D58" s="117"/>
      <c r="E58" s="117"/>
      <c r="F58" s="117"/>
      <c r="G58" s="117"/>
      <c r="H58" s="117"/>
      <c r="I58" s="117"/>
      <c r="J58" s="117"/>
      <c r="K58" s="117"/>
    </row>
    <row r="59" spans="1:11" ht="15.75" x14ac:dyDescent="0.2">
      <c r="A59" s="117"/>
      <c r="B59" s="117"/>
      <c r="C59" s="117"/>
      <c r="D59" s="117"/>
      <c r="E59" s="117"/>
      <c r="F59" s="117"/>
      <c r="G59" s="117"/>
      <c r="H59" s="117"/>
      <c r="I59" s="117"/>
      <c r="J59" s="117"/>
      <c r="K59" s="117"/>
    </row>
    <row r="60" spans="1:11" ht="15.75" x14ac:dyDescent="0.2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17"/>
    </row>
    <row r="61" spans="1:11" ht="15.75" x14ac:dyDescent="0.2">
      <c r="A61" s="117"/>
      <c r="B61" s="117"/>
      <c r="C61" s="117"/>
      <c r="D61" s="117"/>
      <c r="E61" s="117"/>
      <c r="F61" s="117"/>
      <c r="G61" s="117"/>
      <c r="H61" s="117"/>
      <c r="I61" s="117"/>
      <c r="J61" s="117"/>
      <c r="K61" s="117"/>
    </row>
    <row r="62" spans="1:11" ht="15.75" x14ac:dyDescent="0.2">
      <c r="A62" s="117"/>
      <c r="B62" s="117"/>
      <c r="C62" s="117"/>
      <c r="D62" s="117"/>
      <c r="E62" s="117"/>
      <c r="F62" s="117"/>
      <c r="G62" s="117"/>
      <c r="H62" s="117"/>
      <c r="I62" s="117"/>
      <c r="J62" s="117"/>
      <c r="K62" s="117"/>
    </row>
    <row r="63" spans="1:11" ht="15.75" x14ac:dyDescent="0.2">
      <c r="A63" s="117"/>
      <c r="B63" s="117"/>
      <c r="C63" s="117"/>
      <c r="D63" s="117"/>
      <c r="E63" s="117"/>
      <c r="F63" s="117"/>
      <c r="G63" s="117"/>
      <c r="H63" s="117"/>
      <c r="I63" s="117"/>
      <c r="J63" s="117"/>
      <c r="K63" s="117"/>
    </row>
    <row r="64" spans="1:11" ht="15.75" x14ac:dyDescent="0.2">
      <c r="A64" s="117"/>
      <c r="B64" s="117"/>
      <c r="C64" s="117"/>
      <c r="D64" s="117"/>
      <c r="E64" s="117"/>
      <c r="F64" s="117"/>
      <c r="G64" s="117"/>
      <c r="H64" s="117"/>
      <c r="I64" s="117"/>
      <c r="J64" s="117"/>
      <c r="K64" s="117"/>
    </row>
    <row r="65" spans="1:11" ht="15.75" x14ac:dyDescent="0.2">
      <c r="A65" s="117"/>
      <c r="B65" s="117"/>
      <c r="C65" s="117"/>
      <c r="D65" s="117"/>
      <c r="E65" s="117"/>
      <c r="F65" s="117"/>
      <c r="G65" s="117"/>
      <c r="H65" s="117"/>
      <c r="I65" s="117"/>
      <c r="J65" s="117"/>
      <c r="K65" s="117"/>
    </row>
    <row r="66" spans="1:11" ht="15.75" x14ac:dyDescent="0.2">
      <c r="A66" s="117"/>
      <c r="B66" s="117"/>
      <c r="C66" s="117"/>
      <c r="D66" s="117"/>
      <c r="E66" s="117"/>
      <c r="F66" s="117"/>
      <c r="G66" s="117"/>
      <c r="H66" s="117"/>
      <c r="I66" s="117"/>
      <c r="J66" s="117"/>
      <c r="K66" s="117"/>
    </row>
    <row r="67" spans="1:11" ht="15.75" x14ac:dyDescent="0.2">
      <c r="A67" s="117"/>
      <c r="B67" s="117"/>
      <c r="C67" s="117"/>
      <c r="D67" s="117"/>
      <c r="E67" s="117"/>
      <c r="F67" s="117"/>
      <c r="G67" s="117"/>
      <c r="H67" s="117"/>
      <c r="I67" s="117"/>
      <c r="J67" s="117"/>
      <c r="K67" s="117"/>
    </row>
    <row r="68" spans="1:11" ht="15.75" x14ac:dyDescent="0.2">
      <c r="A68" s="117"/>
      <c r="B68" s="117"/>
      <c r="C68" s="117"/>
      <c r="D68" s="117"/>
      <c r="E68" s="117"/>
      <c r="F68" s="117"/>
      <c r="G68" s="117"/>
      <c r="H68" s="117"/>
      <c r="I68" s="117"/>
      <c r="J68" s="117"/>
      <c r="K68" s="117"/>
    </row>
    <row r="69" spans="1:11" ht="15.75" x14ac:dyDescent="0.2">
      <c r="A69" s="117"/>
      <c r="B69" s="117"/>
      <c r="C69" s="117"/>
      <c r="D69" s="117"/>
      <c r="E69" s="117"/>
      <c r="F69" s="117"/>
      <c r="G69" s="117"/>
      <c r="H69" s="117"/>
      <c r="I69" s="117"/>
      <c r="J69" s="117"/>
      <c r="K69" s="117"/>
    </row>
    <row r="70" spans="1:11" ht="15.75" x14ac:dyDescent="0.2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</row>
    <row r="71" spans="1:11" ht="15.75" x14ac:dyDescent="0.2">
      <c r="A71" s="117"/>
      <c r="B71" s="117"/>
      <c r="C71" s="117"/>
      <c r="D71" s="117"/>
      <c r="E71" s="117"/>
      <c r="F71" s="117"/>
      <c r="G71" s="117"/>
      <c r="H71" s="117"/>
      <c r="I71" s="117"/>
      <c r="J71" s="117"/>
      <c r="K71" s="117"/>
    </row>
    <row r="72" spans="1:11" ht="15.75" x14ac:dyDescent="0.2">
      <c r="A72" s="117"/>
      <c r="B72" s="117"/>
      <c r="C72" s="117"/>
      <c r="D72" s="117"/>
      <c r="E72" s="117"/>
      <c r="F72" s="117"/>
      <c r="G72" s="117"/>
      <c r="H72" s="117"/>
      <c r="I72" s="117"/>
      <c r="J72" s="117"/>
      <c r="K72" s="117"/>
    </row>
    <row r="73" spans="1:11" ht="15.75" x14ac:dyDescent="0.2">
      <c r="A73" s="117"/>
      <c r="B73" s="117"/>
      <c r="C73" s="117"/>
      <c r="D73" s="117"/>
      <c r="E73" s="117"/>
      <c r="F73" s="117"/>
      <c r="G73" s="117"/>
      <c r="H73" s="117"/>
      <c r="I73" s="117"/>
      <c r="J73" s="117"/>
      <c r="K73" s="117"/>
    </row>
    <row r="74" spans="1:11" ht="15.75" x14ac:dyDescent="0.2">
      <c r="A74" s="117"/>
      <c r="B74" s="117"/>
      <c r="C74" s="117"/>
      <c r="D74" s="117"/>
      <c r="E74" s="117"/>
      <c r="F74" s="117"/>
      <c r="G74" s="117"/>
      <c r="H74" s="117"/>
      <c r="I74" s="117"/>
      <c r="J74" s="117"/>
      <c r="K74" s="117"/>
    </row>
    <row r="75" spans="1:11" ht="15.75" x14ac:dyDescent="0.2">
      <c r="A75" s="117"/>
      <c r="B75" s="117"/>
      <c r="C75" s="117"/>
      <c r="D75" s="117"/>
      <c r="E75" s="117"/>
      <c r="F75" s="117"/>
      <c r="G75" s="117"/>
      <c r="H75" s="117"/>
      <c r="I75" s="117"/>
      <c r="J75" s="117"/>
      <c r="K75" s="117"/>
    </row>
    <row r="76" spans="1:11" ht="15.75" x14ac:dyDescent="0.2">
      <c r="A76" s="117"/>
      <c r="B76" s="117"/>
      <c r="C76" s="117"/>
      <c r="D76" s="117"/>
      <c r="E76" s="117"/>
      <c r="F76" s="117"/>
      <c r="G76" s="117"/>
      <c r="H76" s="117"/>
      <c r="I76" s="117"/>
      <c r="J76" s="117"/>
      <c r="K76" s="117"/>
    </row>
    <row r="77" spans="1:11" ht="15.75" x14ac:dyDescent="0.2">
      <c r="A77" s="117"/>
      <c r="B77" s="117"/>
      <c r="C77" s="117"/>
      <c r="D77" s="117"/>
      <c r="E77" s="117"/>
      <c r="F77" s="117"/>
      <c r="G77" s="117"/>
      <c r="H77" s="117"/>
      <c r="I77" s="117"/>
      <c r="J77" s="117"/>
      <c r="K77" s="117"/>
    </row>
    <row r="78" spans="1:11" ht="15.75" x14ac:dyDescent="0.2">
      <c r="A78" s="117"/>
      <c r="B78" s="117"/>
      <c r="C78" s="117"/>
      <c r="D78" s="117"/>
      <c r="E78" s="117"/>
      <c r="F78" s="117"/>
      <c r="G78" s="117"/>
      <c r="H78" s="117"/>
      <c r="I78" s="117"/>
      <c r="J78" s="117"/>
      <c r="K78" s="117"/>
    </row>
    <row r="79" spans="1:11" ht="15.75" x14ac:dyDescent="0.2">
      <c r="A79" s="117"/>
      <c r="B79" s="117"/>
      <c r="C79" s="117"/>
      <c r="D79" s="117"/>
      <c r="E79" s="117"/>
      <c r="F79" s="117"/>
      <c r="G79" s="117"/>
      <c r="H79" s="117"/>
      <c r="I79" s="117"/>
      <c r="J79" s="117"/>
      <c r="K79" s="117"/>
    </row>
    <row r="80" spans="1:11" ht="15.75" x14ac:dyDescent="0.2">
      <c r="A80" s="117"/>
      <c r="B80" s="117"/>
      <c r="C80" s="117"/>
      <c r="D80" s="117"/>
      <c r="E80" s="117"/>
      <c r="F80" s="117"/>
      <c r="G80" s="117"/>
      <c r="H80" s="117"/>
      <c r="I80" s="117"/>
      <c r="J80" s="117"/>
      <c r="K80" s="117"/>
    </row>
    <row r="81" spans="1:11" ht="15.75" x14ac:dyDescent="0.2">
      <c r="A81" s="117"/>
      <c r="B81" s="117"/>
      <c r="C81" s="117"/>
      <c r="D81" s="117"/>
      <c r="E81" s="117"/>
      <c r="F81" s="117"/>
      <c r="G81" s="117"/>
      <c r="H81" s="117"/>
      <c r="I81" s="117"/>
      <c r="J81" s="117"/>
      <c r="K81" s="117"/>
    </row>
    <row r="82" spans="1:11" ht="15.75" x14ac:dyDescent="0.2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</row>
    <row r="83" spans="1:11" ht="15.75" x14ac:dyDescent="0.2">
      <c r="A83" s="117"/>
      <c r="B83" s="117"/>
      <c r="C83" s="117"/>
      <c r="D83" s="117"/>
      <c r="E83" s="117"/>
      <c r="F83" s="117"/>
      <c r="G83" s="117"/>
      <c r="H83" s="117"/>
      <c r="I83" s="117"/>
      <c r="J83" s="117"/>
      <c r="K83" s="117"/>
    </row>
    <row r="84" spans="1:11" ht="15.75" x14ac:dyDescent="0.2">
      <c r="A84" s="117"/>
      <c r="B84" s="117"/>
      <c r="C84" s="117"/>
      <c r="D84" s="117"/>
      <c r="E84" s="117"/>
      <c r="F84" s="117"/>
      <c r="G84" s="117"/>
      <c r="H84" s="117"/>
      <c r="I84" s="117"/>
      <c r="J84" s="117"/>
      <c r="K84" s="117"/>
    </row>
    <row r="85" spans="1:11" ht="15.75" x14ac:dyDescent="0.2">
      <c r="A85" s="117"/>
      <c r="B85" s="117"/>
      <c r="C85" s="117"/>
      <c r="D85" s="117"/>
      <c r="E85" s="117"/>
      <c r="F85" s="117"/>
      <c r="G85" s="117"/>
      <c r="H85" s="117"/>
      <c r="I85" s="117"/>
      <c r="J85" s="117"/>
      <c r="K85" s="117"/>
    </row>
    <row r="86" spans="1:11" ht="15.75" x14ac:dyDescent="0.2">
      <c r="A86" s="117"/>
      <c r="B86" s="117"/>
      <c r="C86" s="117"/>
      <c r="D86" s="117"/>
      <c r="E86" s="117"/>
      <c r="F86" s="117"/>
      <c r="G86" s="117"/>
      <c r="H86" s="117"/>
      <c r="I86" s="117"/>
      <c r="J86" s="117"/>
      <c r="K86" s="117"/>
    </row>
    <row r="87" spans="1:11" ht="15.75" x14ac:dyDescent="0.2">
      <c r="A87" s="117"/>
      <c r="B87" s="117"/>
      <c r="C87" s="117"/>
      <c r="D87" s="117"/>
      <c r="E87" s="117"/>
      <c r="F87" s="117"/>
      <c r="G87" s="117"/>
      <c r="H87" s="117"/>
      <c r="I87" s="117"/>
      <c r="J87" s="117"/>
      <c r="K87" s="117"/>
    </row>
    <row r="88" spans="1:11" ht="15.75" x14ac:dyDescent="0.2">
      <c r="A88" s="117"/>
      <c r="B88" s="117"/>
      <c r="C88" s="117"/>
      <c r="D88" s="117"/>
      <c r="E88" s="117"/>
      <c r="F88" s="117"/>
      <c r="G88" s="117"/>
      <c r="H88" s="117"/>
      <c r="I88" s="117"/>
      <c r="J88" s="117"/>
      <c r="K88" s="117"/>
    </row>
    <row r="89" spans="1:11" ht="15.75" x14ac:dyDescent="0.2">
      <c r="A89" s="117"/>
      <c r="B89" s="117"/>
      <c r="C89" s="117"/>
      <c r="D89" s="117"/>
      <c r="E89" s="117"/>
      <c r="F89" s="117"/>
      <c r="G89" s="117"/>
      <c r="H89" s="117"/>
      <c r="I89" s="117"/>
      <c r="J89" s="117"/>
      <c r="K89" s="117"/>
    </row>
    <row r="90" spans="1:11" ht="15.75" x14ac:dyDescent="0.2">
      <c r="A90" s="117"/>
      <c r="B90" s="117"/>
      <c r="C90" s="117"/>
      <c r="D90" s="117"/>
      <c r="E90" s="117"/>
      <c r="F90" s="117"/>
      <c r="G90" s="117"/>
      <c r="H90" s="117"/>
      <c r="I90" s="117"/>
      <c r="J90" s="117"/>
      <c r="K90" s="117"/>
    </row>
    <row r="91" spans="1:11" ht="15.75" x14ac:dyDescent="0.2">
      <c r="A91" s="117"/>
      <c r="B91" s="117"/>
      <c r="C91" s="117"/>
      <c r="D91" s="117"/>
      <c r="E91" s="117"/>
      <c r="F91" s="117"/>
      <c r="G91" s="117"/>
      <c r="H91" s="117"/>
      <c r="I91" s="117"/>
      <c r="J91" s="117"/>
      <c r="K91" s="117"/>
    </row>
    <row r="92" spans="1:11" ht="15.75" x14ac:dyDescent="0.2">
      <c r="A92" s="117"/>
      <c r="B92" s="117"/>
      <c r="C92" s="117"/>
      <c r="D92" s="117"/>
      <c r="E92" s="117"/>
      <c r="F92" s="117"/>
      <c r="G92" s="117"/>
      <c r="H92" s="117"/>
      <c r="I92" s="117"/>
      <c r="J92" s="117"/>
      <c r="K92" s="117"/>
    </row>
    <row r="93" spans="1:11" ht="15.75" x14ac:dyDescent="0.2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</row>
    <row r="94" spans="1:11" ht="15.75" x14ac:dyDescent="0.2">
      <c r="A94" s="117"/>
      <c r="B94" s="117"/>
      <c r="C94" s="117"/>
      <c r="D94" s="117"/>
      <c r="E94" s="117"/>
      <c r="F94" s="117"/>
      <c r="G94" s="117"/>
      <c r="H94" s="117"/>
      <c r="I94" s="117"/>
      <c r="J94" s="117"/>
      <c r="K94" s="117"/>
    </row>
    <row r="95" spans="1:11" ht="15.75" x14ac:dyDescent="0.2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</row>
    <row r="96" spans="1:11" ht="15.75" x14ac:dyDescent="0.2">
      <c r="A96" s="117"/>
      <c r="B96" s="117"/>
      <c r="C96" s="117"/>
      <c r="D96" s="117"/>
      <c r="E96" s="117"/>
      <c r="F96" s="117"/>
      <c r="G96" s="117"/>
      <c r="H96" s="117"/>
      <c r="I96" s="117"/>
      <c r="J96" s="117"/>
      <c r="K96" s="117"/>
    </row>
    <row r="97" spans="1:11" ht="15.75" x14ac:dyDescent="0.2">
      <c r="A97" s="117"/>
      <c r="B97" s="117"/>
      <c r="C97" s="117"/>
      <c r="D97" s="117"/>
      <c r="E97" s="117"/>
      <c r="F97" s="117"/>
      <c r="G97" s="117"/>
      <c r="H97" s="117"/>
      <c r="I97" s="117"/>
      <c r="J97" s="117"/>
      <c r="K97" s="117"/>
    </row>
    <row r="98" spans="1:11" ht="15.75" x14ac:dyDescent="0.2">
      <c r="A98" s="117"/>
      <c r="B98" s="117"/>
      <c r="C98" s="117"/>
      <c r="D98" s="117"/>
      <c r="E98" s="117"/>
      <c r="F98" s="117"/>
      <c r="G98" s="117"/>
      <c r="H98" s="117"/>
      <c r="I98" s="117"/>
      <c r="J98" s="117"/>
      <c r="K98" s="117"/>
    </row>
    <row r="99" spans="1:11" ht="15.75" x14ac:dyDescent="0.2">
      <c r="A99" s="117"/>
      <c r="B99" s="117"/>
      <c r="C99" s="117"/>
      <c r="D99" s="117"/>
      <c r="E99" s="117"/>
      <c r="F99" s="117"/>
      <c r="G99" s="117"/>
      <c r="H99" s="117"/>
      <c r="I99" s="117"/>
      <c r="J99" s="117"/>
      <c r="K99" s="117"/>
    </row>
    <row r="100" spans="1:11" ht="15.75" x14ac:dyDescent="0.2">
      <c r="A100" s="117"/>
      <c r="B100" s="117"/>
      <c r="C100" s="117"/>
      <c r="D100" s="117"/>
      <c r="E100" s="117"/>
      <c r="F100" s="117"/>
      <c r="G100" s="117"/>
      <c r="H100" s="117"/>
      <c r="I100" s="117"/>
      <c r="J100" s="117"/>
      <c r="K100" s="117"/>
    </row>
    <row r="101" spans="1:11" ht="15.75" x14ac:dyDescent="0.2">
      <c r="A101" s="117"/>
      <c r="B101" s="117"/>
      <c r="C101" s="117"/>
      <c r="D101" s="117"/>
      <c r="E101" s="117"/>
      <c r="F101" s="117"/>
      <c r="G101" s="117"/>
      <c r="H101" s="117"/>
      <c r="I101" s="117"/>
      <c r="J101" s="117"/>
      <c r="K101" s="117"/>
    </row>
    <row r="102" spans="1:11" ht="15.75" x14ac:dyDescent="0.2">
      <c r="A102" s="117"/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</row>
    <row r="103" spans="1:11" ht="15.75" x14ac:dyDescent="0.2">
      <c r="A103" s="117"/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</row>
    <row r="104" spans="1:11" ht="15.75" x14ac:dyDescent="0.2">
      <c r="A104" s="117"/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</row>
    <row r="105" spans="1:11" ht="15.75" x14ac:dyDescent="0.2">
      <c r="A105" s="117"/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</row>
    <row r="106" spans="1:11" ht="15.75" x14ac:dyDescent="0.2">
      <c r="A106" s="117"/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</row>
    <row r="107" spans="1:11" ht="15.75" x14ac:dyDescent="0.2">
      <c r="A107" s="117"/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</row>
    <row r="108" spans="1:11" ht="15.75" x14ac:dyDescent="0.2">
      <c r="A108" s="117"/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</row>
    <row r="109" spans="1:11" ht="15.75" x14ac:dyDescent="0.2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</row>
    <row r="110" spans="1:11" ht="15.75" x14ac:dyDescent="0.2">
      <c r="A110" s="117"/>
      <c r="B110" s="117"/>
      <c r="C110" s="117"/>
      <c r="D110" s="117"/>
      <c r="E110" s="117"/>
      <c r="F110" s="117"/>
      <c r="G110" s="117"/>
      <c r="H110" s="117"/>
      <c r="I110" s="117"/>
      <c r="J110" s="117"/>
      <c r="K110" s="117"/>
    </row>
    <row r="111" spans="1:11" ht="15.75" x14ac:dyDescent="0.2">
      <c r="A111" s="117"/>
      <c r="B111" s="117"/>
      <c r="C111" s="117"/>
      <c r="D111" s="117"/>
      <c r="E111" s="117"/>
      <c r="F111" s="117"/>
      <c r="G111" s="117"/>
      <c r="H111" s="117"/>
      <c r="I111" s="117"/>
      <c r="J111" s="117"/>
      <c r="K111" s="117"/>
    </row>
    <row r="112" spans="1:11" ht="15.75" x14ac:dyDescent="0.2">
      <c r="A112" s="117"/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</row>
    <row r="113" spans="1:11" ht="15.75" x14ac:dyDescent="0.2">
      <c r="A113" s="117"/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</row>
    <row r="114" spans="1:11" ht="15.75" x14ac:dyDescent="0.2">
      <c r="A114" s="117"/>
      <c r="B114" s="117"/>
      <c r="C114" s="117"/>
      <c r="D114" s="117"/>
      <c r="E114" s="117"/>
      <c r="F114" s="117"/>
      <c r="G114" s="117"/>
      <c r="H114" s="117"/>
      <c r="I114" s="117"/>
      <c r="J114" s="117"/>
      <c r="K114" s="117"/>
    </row>
    <row r="115" spans="1:11" ht="15.75" x14ac:dyDescent="0.2">
      <c r="A115" s="117"/>
      <c r="B115" s="117"/>
      <c r="C115" s="117"/>
      <c r="D115" s="117"/>
      <c r="E115" s="117"/>
      <c r="F115" s="117"/>
      <c r="G115" s="117"/>
      <c r="H115" s="117"/>
      <c r="I115" s="117"/>
      <c r="J115" s="117"/>
      <c r="K115" s="117"/>
    </row>
    <row r="116" spans="1:11" ht="15.75" x14ac:dyDescent="0.2">
      <c r="A116" s="117"/>
      <c r="B116" s="117"/>
      <c r="C116" s="117"/>
      <c r="D116" s="117"/>
      <c r="E116" s="117"/>
      <c r="F116" s="117"/>
      <c r="G116" s="117"/>
      <c r="H116" s="117"/>
      <c r="I116" s="117"/>
      <c r="J116" s="117"/>
      <c r="K116" s="117"/>
    </row>
    <row r="117" spans="1:11" ht="15.75" x14ac:dyDescent="0.2">
      <c r="A117" s="117"/>
      <c r="B117" s="117"/>
      <c r="C117" s="117"/>
      <c r="D117" s="117"/>
      <c r="E117" s="117"/>
      <c r="F117" s="117"/>
      <c r="G117" s="117"/>
      <c r="H117" s="117"/>
      <c r="I117" s="117"/>
      <c r="J117" s="117"/>
      <c r="K117" s="117"/>
    </row>
    <row r="118" spans="1:11" ht="15.75" x14ac:dyDescent="0.2">
      <c r="A118" s="117"/>
      <c r="B118" s="117"/>
      <c r="C118" s="117"/>
      <c r="D118" s="117"/>
      <c r="E118" s="117"/>
      <c r="F118" s="117"/>
      <c r="G118" s="117"/>
      <c r="H118" s="117"/>
      <c r="I118" s="117"/>
      <c r="J118" s="117"/>
      <c r="K118" s="117"/>
    </row>
    <row r="119" spans="1:11" ht="15.75" x14ac:dyDescent="0.2">
      <c r="A119" s="117"/>
      <c r="B119" s="117"/>
      <c r="C119" s="117"/>
      <c r="D119" s="117"/>
      <c r="E119" s="117"/>
      <c r="F119" s="117"/>
      <c r="G119" s="117"/>
      <c r="H119" s="117"/>
      <c r="I119" s="117"/>
      <c r="J119" s="117"/>
      <c r="K119" s="117"/>
    </row>
    <row r="120" spans="1:11" ht="15.75" x14ac:dyDescent="0.2">
      <c r="A120" s="117"/>
      <c r="B120" s="117"/>
      <c r="C120" s="117"/>
      <c r="D120" s="117"/>
      <c r="E120" s="117"/>
      <c r="F120" s="117"/>
      <c r="G120" s="117"/>
      <c r="H120" s="117"/>
      <c r="I120" s="117"/>
      <c r="J120" s="117"/>
      <c r="K120" s="117"/>
    </row>
    <row r="121" spans="1:11" ht="15.75" x14ac:dyDescent="0.2">
      <c r="A121" s="117"/>
      <c r="B121" s="117"/>
      <c r="C121" s="117"/>
      <c r="D121" s="117"/>
      <c r="E121" s="117"/>
      <c r="F121" s="117"/>
      <c r="G121" s="117"/>
      <c r="H121" s="117"/>
      <c r="I121" s="117"/>
      <c r="J121" s="117"/>
      <c r="K121" s="117"/>
    </row>
    <row r="122" spans="1:11" ht="15.75" x14ac:dyDescent="0.2">
      <c r="A122" s="117"/>
      <c r="B122" s="117"/>
      <c r="C122" s="117"/>
      <c r="D122" s="117"/>
      <c r="E122" s="117"/>
      <c r="F122" s="117"/>
      <c r="G122" s="117"/>
      <c r="H122" s="117"/>
      <c r="I122" s="117"/>
      <c r="J122" s="117"/>
      <c r="K122" s="117"/>
    </row>
    <row r="123" spans="1:11" ht="15.75" x14ac:dyDescent="0.2">
      <c r="A123" s="117"/>
      <c r="B123" s="117"/>
      <c r="C123" s="117"/>
      <c r="D123" s="117"/>
      <c r="E123" s="117"/>
      <c r="F123" s="117"/>
      <c r="G123" s="117"/>
      <c r="H123" s="117"/>
      <c r="I123" s="117"/>
      <c r="J123" s="117"/>
      <c r="K123" s="117"/>
    </row>
    <row r="124" spans="1:11" ht="15.75" x14ac:dyDescent="0.2">
      <c r="A124" s="117"/>
      <c r="B124" s="117"/>
      <c r="C124" s="117"/>
      <c r="D124" s="117"/>
      <c r="E124" s="117"/>
      <c r="F124" s="117"/>
      <c r="G124" s="117"/>
      <c r="H124" s="117"/>
      <c r="I124" s="117"/>
      <c r="J124" s="117"/>
      <c r="K124" s="117"/>
    </row>
    <row r="125" spans="1:11" ht="15.75" x14ac:dyDescent="0.2">
      <c r="A125" s="117"/>
      <c r="B125" s="117"/>
      <c r="C125" s="117"/>
      <c r="D125" s="117"/>
      <c r="E125" s="117"/>
      <c r="F125" s="117"/>
      <c r="G125" s="117"/>
      <c r="H125" s="117"/>
      <c r="I125" s="117"/>
      <c r="J125" s="117"/>
      <c r="K125" s="117"/>
    </row>
    <row r="126" spans="1:11" ht="15.75" x14ac:dyDescent="0.2">
      <c r="A126" s="117"/>
      <c r="B126" s="117"/>
      <c r="C126" s="117"/>
      <c r="D126" s="117"/>
      <c r="E126" s="117"/>
      <c r="F126" s="117"/>
      <c r="G126" s="117"/>
      <c r="H126" s="117"/>
      <c r="I126" s="117"/>
      <c r="J126" s="117"/>
      <c r="K126" s="117"/>
    </row>
    <row r="127" spans="1:11" ht="15.75" x14ac:dyDescent="0.2">
      <c r="A127" s="117"/>
      <c r="B127" s="117"/>
      <c r="C127" s="117"/>
      <c r="D127" s="117"/>
      <c r="E127" s="117"/>
      <c r="F127" s="117"/>
      <c r="G127" s="117"/>
      <c r="H127" s="117"/>
      <c r="I127" s="117"/>
      <c r="J127" s="117"/>
      <c r="K127" s="117"/>
    </row>
    <row r="128" spans="1:11" ht="15.75" x14ac:dyDescent="0.2">
      <c r="A128" s="117"/>
      <c r="B128" s="117"/>
      <c r="C128" s="117"/>
      <c r="D128" s="117"/>
      <c r="E128" s="117"/>
      <c r="F128" s="117"/>
      <c r="G128" s="117"/>
      <c r="H128" s="117"/>
      <c r="I128" s="117"/>
      <c r="J128" s="117"/>
      <c r="K128" s="117"/>
    </row>
    <row r="129" spans="1:11" ht="15.75" x14ac:dyDescent="0.2">
      <c r="A129" s="117"/>
      <c r="B129" s="117"/>
      <c r="C129" s="117"/>
      <c r="D129" s="117"/>
      <c r="E129" s="117"/>
      <c r="F129" s="117"/>
      <c r="G129" s="117"/>
      <c r="H129" s="117"/>
      <c r="I129" s="117"/>
      <c r="J129" s="117"/>
      <c r="K129" s="117"/>
    </row>
    <row r="130" spans="1:11" ht="15.75" x14ac:dyDescent="0.2">
      <c r="A130" s="117"/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</row>
    <row r="131" spans="1:11" ht="15.75" x14ac:dyDescent="0.2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</row>
    <row r="132" spans="1:11" ht="15.75" x14ac:dyDescent="0.2">
      <c r="A132" s="117"/>
      <c r="B132" s="117"/>
      <c r="C132" s="117"/>
      <c r="D132" s="117"/>
      <c r="E132" s="117"/>
      <c r="F132" s="117"/>
      <c r="G132" s="117"/>
      <c r="H132" s="117"/>
      <c r="I132" s="117"/>
      <c r="J132" s="117"/>
      <c r="K132" s="117"/>
    </row>
    <row r="133" spans="1:11" ht="15.75" x14ac:dyDescent="0.2">
      <c r="A133" s="117"/>
      <c r="B133" s="117"/>
      <c r="C133" s="117"/>
      <c r="D133" s="117"/>
      <c r="E133" s="117"/>
      <c r="F133" s="117"/>
      <c r="G133" s="117"/>
      <c r="H133" s="117"/>
      <c r="I133" s="117"/>
      <c r="J133" s="117"/>
      <c r="K133" s="117"/>
    </row>
    <row r="134" spans="1:11" ht="15.75" x14ac:dyDescent="0.2">
      <c r="A134" s="117"/>
      <c r="B134" s="117"/>
      <c r="C134" s="117"/>
      <c r="D134" s="117"/>
      <c r="E134" s="117"/>
      <c r="F134" s="117"/>
      <c r="G134" s="117"/>
      <c r="H134" s="117"/>
      <c r="I134" s="117"/>
      <c r="J134" s="117"/>
      <c r="K134" s="117"/>
    </row>
    <row r="135" spans="1:11" ht="15.75" x14ac:dyDescent="0.2">
      <c r="A135" s="117"/>
      <c r="B135" s="117"/>
      <c r="C135" s="117"/>
      <c r="D135" s="117"/>
      <c r="E135" s="117"/>
      <c r="F135" s="117"/>
      <c r="G135" s="117"/>
      <c r="H135" s="117"/>
      <c r="I135" s="117"/>
      <c r="J135" s="117"/>
      <c r="K135" s="117"/>
    </row>
    <row r="136" spans="1:11" ht="15.75" x14ac:dyDescent="0.2">
      <c r="A136" s="117"/>
      <c r="B136" s="117"/>
      <c r="C136" s="117"/>
      <c r="D136" s="117"/>
      <c r="E136" s="117"/>
      <c r="F136" s="117"/>
      <c r="G136" s="117"/>
      <c r="H136" s="117"/>
      <c r="I136" s="117"/>
      <c r="J136" s="117"/>
      <c r="K136" s="117"/>
    </row>
    <row r="137" spans="1:11" ht="15.75" x14ac:dyDescent="0.2">
      <c r="A137" s="117"/>
      <c r="B137" s="117"/>
      <c r="C137" s="117"/>
      <c r="D137" s="117"/>
      <c r="E137" s="117"/>
      <c r="F137" s="117"/>
      <c r="G137" s="117"/>
      <c r="H137" s="117"/>
      <c r="I137" s="117"/>
      <c r="J137" s="117"/>
      <c r="K137" s="117"/>
    </row>
    <row r="138" spans="1:11" ht="15.75" x14ac:dyDescent="0.2">
      <c r="A138" s="117"/>
      <c r="B138" s="117"/>
      <c r="C138" s="117"/>
      <c r="D138" s="117"/>
      <c r="E138" s="117"/>
      <c r="F138" s="117"/>
      <c r="G138" s="117"/>
      <c r="H138" s="117"/>
      <c r="I138" s="117"/>
      <c r="J138" s="117"/>
      <c r="K138" s="117"/>
    </row>
    <row r="139" spans="1:11" ht="15.75" x14ac:dyDescent="0.2">
      <c r="A139" s="117"/>
      <c r="B139" s="117"/>
      <c r="C139" s="117"/>
      <c r="D139" s="117"/>
      <c r="E139" s="117"/>
      <c r="F139" s="117"/>
      <c r="G139" s="117"/>
      <c r="H139" s="117"/>
      <c r="I139" s="117"/>
      <c r="J139" s="117"/>
      <c r="K139" s="117"/>
    </row>
    <row r="140" spans="1:11" ht="15.75" x14ac:dyDescent="0.2">
      <c r="A140" s="117"/>
      <c r="B140" s="117"/>
      <c r="C140" s="117"/>
      <c r="D140" s="117"/>
      <c r="E140" s="117"/>
      <c r="F140" s="117"/>
      <c r="G140" s="117"/>
      <c r="H140" s="117"/>
      <c r="I140" s="117"/>
      <c r="J140" s="117"/>
      <c r="K140" s="117"/>
    </row>
    <row r="141" spans="1:11" ht="15.75" x14ac:dyDescent="0.2">
      <c r="A141" s="117"/>
      <c r="B141" s="117"/>
      <c r="C141" s="117"/>
      <c r="D141" s="117"/>
      <c r="E141" s="117"/>
      <c r="F141" s="117"/>
      <c r="G141" s="117"/>
      <c r="H141" s="117"/>
      <c r="I141" s="117"/>
      <c r="J141" s="117"/>
      <c r="K141" s="117"/>
    </row>
    <row r="142" spans="1:11" ht="15.75" x14ac:dyDescent="0.2">
      <c r="A142" s="117"/>
      <c r="B142" s="117"/>
      <c r="C142" s="117"/>
      <c r="D142" s="117"/>
      <c r="E142" s="117"/>
      <c r="F142" s="117"/>
      <c r="G142" s="117"/>
      <c r="H142" s="117"/>
      <c r="I142" s="117"/>
      <c r="J142" s="117"/>
      <c r="K142" s="117"/>
    </row>
    <row r="143" spans="1:11" ht="15.75" x14ac:dyDescent="0.2">
      <c r="A143" s="117"/>
      <c r="B143" s="117"/>
      <c r="C143" s="117"/>
      <c r="D143" s="117"/>
      <c r="E143" s="117"/>
      <c r="F143" s="117"/>
      <c r="G143" s="117"/>
      <c r="H143" s="117"/>
      <c r="I143" s="117"/>
      <c r="J143" s="117"/>
      <c r="K143" s="117"/>
    </row>
    <row r="144" spans="1:11" ht="15.75" x14ac:dyDescent="0.2">
      <c r="A144" s="117"/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</row>
    <row r="145" spans="1:11" ht="15.75" x14ac:dyDescent="0.2">
      <c r="A145" s="117"/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</row>
    <row r="146" spans="1:11" ht="15.75" x14ac:dyDescent="0.2">
      <c r="A146" s="117"/>
      <c r="B146" s="117"/>
      <c r="C146" s="117"/>
      <c r="D146" s="117"/>
      <c r="E146" s="117"/>
      <c r="F146" s="117"/>
      <c r="G146" s="117"/>
      <c r="H146" s="117"/>
      <c r="I146" s="117"/>
      <c r="J146" s="117"/>
      <c r="K146" s="117"/>
    </row>
    <row r="147" spans="1:11" ht="15.75" x14ac:dyDescent="0.2">
      <c r="A147" s="117"/>
      <c r="B147" s="117"/>
      <c r="C147" s="117"/>
      <c r="D147" s="117"/>
      <c r="E147" s="117"/>
      <c r="F147" s="117"/>
      <c r="G147" s="117"/>
      <c r="H147" s="117"/>
      <c r="I147" s="117"/>
      <c r="J147" s="117"/>
      <c r="K147" s="117"/>
    </row>
    <row r="148" spans="1:11" ht="15.75" x14ac:dyDescent="0.2">
      <c r="A148" s="117"/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</row>
    <row r="149" spans="1:11" ht="15.75" x14ac:dyDescent="0.2">
      <c r="A149" s="117"/>
      <c r="B149" s="117"/>
      <c r="C149" s="117"/>
      <c r="D149" s="117"/>
      <c r="E149" s="117"/>
      <c r="F149" s="117"/>
      <c r="G149" s="117"/>
      <c r="H149" s="117"/>
      <c r="I149" s="117"/>
      <c r="J149" s="117"/>
      <c r="K149" s="117"/>
    </row>
    <row r="150" spans="1:11" ht="15.75" x14ac:dyDescent="0.2">
      <c r="A150" s="117"/>
      <c r="B150" s="117"/>
      <c r="C150" s="117"/>
      <c r="D150" s="117"/>
      <c r="E150" s="117"/>
      <c r="F150" s="117"/>
      <c r="G150" s="117"/>
      <c r="H150" s="117"/>
      <c r="I150" s="117"/>
      <c r="J150" s="117"/>
      <c r="K150" s="117"/>
    </row>
    <row r="151" spans="1:11" ht="15.75" x14ac:dyDescent="0.2">
      <c r="A151" s="117"/>
      <c r="B151" s="117"/>
      <c r="C151" s="117"/>
      <c r="D151" s="117"/>
      <c r="E151" s="117"/>
      <c r="F151" s="117"/>
      <c r="G151" s="117"/>
      <c r="H151" s="117"/>
      <c r="I151" s="117"/>
      <c r="J151" s="117"/>
      <c r="K151" s="117"/>
    </row>
    <row r="152" spans="1:11" ht="15.75" x14ac:dyDescent="0.2">
      <c r="A152" s="117"/>
      <c r="B152" s="117"/>
      <c r="C152" s="117"/>
      <c r="D152" s="117"/>
      <c r="E152" s="117"/>
      <c r="F152" s="117"/>
      <c r="G152" s="117"/>
      <c r="H152" s="117"/>
      <c r="I152" s="117"/>
      <c r="J152" s="117"/>
      <c r="K152" s="117"/>
    </row>
    <row r="153" spans="1:11" ht="15.75" x14ac:dyDescent="0.2">
      <c r="A153" s="117"/>
      <c r="B153" s="117"/>
      <c r="C153" s="117"/>
      <c r="D153" s="117"/>
      <c r="E153" s="117"/>
      <c r="F153" s="117"/>
      <c r="G153" s="117"/>
      <c r="H153" s="117"/>
      <c r="I153" s="117"/>
      <c r="J153" s="117"/>
      <c r="K153" s="117"/>
    </row>
    <row r="154" spans="1:11" ht="15.75" x14ac:dyDescent="0.2">
      <c r="A154" s="117"/>
      <c r="B154" s="117"/>
      <c r="C154" s="117"/>
      <c r="D154" s="117"/>
      <c r="E154" s="117"/>
      <c r="F154" s="117"/>
      <c r="G154" s="117"/>
      <c r="H154" s="117"/>
      <c r="I154" s="117"/>
      <c r="J154" s="117"/>
      <c r="K154" s="117"/>
    </row>
    <row r="155" spans="1:11" ht="15.75" x14ac:dyDescent="0.2">
      <c r="A155" s="117"/>
      <c r="B155" s="117"/>
      <c r="C155" s="117"/>
      <c r="D155" s="117"/>
      <c r="E155" s="117"/>
      <c r="F155" s="117"/>
      <c r="G155" s="117"/>
      <c r="H155" s="117"/>
      <c r="I155" s="117"/>
      <c r="J155" s="117"/>
      <c r="K155" s="117"/>
    </row>
    <row r="156" spans="1:11" ht="15.75" x14ac:dyDescent="0.2">
      <c r="A156" s="117"/>
      <c r="B156" s="117"/>
      <c r="C156" s="117"/>
      <c r="D156" s="117"/>
      <c r="E156" s="117"/>
      <c r="F156" s="117"/>
      <c r="G156" s="117"/>
      <c r="H156" s="117"/>
      <c r="I156" s="117"/>
      <c r="J156" s="117"/>
      <c r="K156" s="117"/>
    </row>
    <row r="157" spans="1:11" ht="15.75" x14ac:dyDescent="0.2">
      <c r="A157" s="117"/>
      <c r="B157" s="117"/>
      <c r="C157" s="117"/>
      <c r="D157" s="117"/>
      <c r="E157" s="117"/>
      <c r="F157" s="117"/>
      <c r="G157" s="117"/>
      <c r="H157" s="117"/>
      <c r="I157" s="117"/>
      <c r="J157" s="117"/>
      <c r="K157" s="117"/>
    </row>
    <row r="158" spans="1:11" ht="15.75" x14ac:dyDescent="0.2">
      <c r="A158" s="117"/>
      <c r="B158" s="117"/>
      <c r="C158" s="117"/>
      <c r="D158" s="117"/>
      <c r="E158" s="117"/>
      <c r="F158" s="117"/>
      <c r="G158" s="117"/>
      <c r="H158" s="117"/>
      <c r="I158" s="117"/>
      <c r="J158" s="117"/>
      <c r="K158" s="117"/>
    </row>
    <row r="159" spans="1:11" ht="15.75" x14ac:dyDescent="0.2">
      <c r="A159" s="117"/>
      <c r="B159" s="117"/>
      <c r="C159" s="117"/>
      <c r="D159" s="117"/>
      <c r="E159" s="117"/>
      <c r="F159" s="117"/>
      <c r="G159" s="117"/>
      <c r="H159" s="117"/>
      <c r="I159" s="117"/>
      <c r="J159" s="117"/>
      <c r="K159" s="117"/>
    </row>
    <row r="160" spans="1:11" ht="15.75" x14ac:dyDescent="0.2">
      <c r="A160" s="117"/>
      <c r="B160" s="117"/>
      <c r="C160" s="117"/>
      <c r="D160" s="117"/>
      <c r="E160" s="117"/>
      <c r="F160" s="117"/>
      <c r="G160" s="117"/>
      <c r="H160" s="117"/>
      <c r="I160" s="117"/>
      <c r="J160" s="117"/>
      <c r="K160" s="117"/>
    </row>
    <row r="161" spans="1:11" ht="15.75" x14ac:dyDescent="0.2">
      <c r="A161" s="117"/>
      <c r="B161" s="117"/>
      <c r="C161" s="117"/>
      <c r="D161" s="117"/>
      <c r="E161" s="117"/>
      <c r="F161" s="117"/>
      <c r="G161" s="117"/>
      <c r="H161" s="117"/>
      <c r="I161" s="117"/>
      <c r="J161" s="117"/>
      <c r="K161" s="117"/>
    </row>
    <row r="162" spans="1:11" ht="15.75" x14ac:dyDescent="0.2">
      <c r="A162" s="117"/>
      <c r="B162" s="117"/>
      <c r="C162" s="117"/>
      <c r="D162" s="117"/>
      <c r="E162" s="117"/>
      <c r="F162" s="117"/>
      <c r="G162" s="117"/>
      <c r="H162" s="117"/>
      <c r="I162" s="117"/>
      <c r="J162" s="117"/>
      <c r="K162" s="117"/>
    </row>
    <row r="163" spans="1:11" ht="15.75" x14ac:dyDescent="0.2">
      <c r="A163" s="117"/>
      <c r="B163" s="117"/>
      <c r="C163" s="117"/>
      <c r="D163" s="117"/>
      <c r="E163" s="117"/>
      <c r="F163" s="117"/>
      <c r="G163" s="117"/>
      <c r="H163" s="117"/>
      <c r="I163" s="117"/>
      <c r="J163" s="117"/>
      <c r="K163" s="117"/>
    </row>
    <row r="164" spans="1:11" ht="15.75" x14ac:dyDescent="0.2">
      <c r="A164" s="117"/>
      <c r="B164" s="117"/>
      <c r="C164" s="117"/>
      <c r="D164" s="117"/>
      <c r="E164" s="117"/>
      <c r="F164" s="117"/>
      <c r="G164" s="117"/>
      <c r="H164" s="117"/>
      <c r="I164" s="117"/>
      <c r="J164" s="117"/>
      <c r="K164" s="117"/>
    </row>
    <row r="165" spans="1:11" ht="15.75" x14ac:dyDescent="0.2">
      <c r="A165" s="117"/>
      <c r="B165" s="117"/>
      <c r="C165" s="117"/>
      <c r="D165" s="117"/>
      <c r="E165" s="117"/>
      <c r="F165" s="117"/>
      <c r="G165" s="117"/>
      <c r="H165" s="117"/>
      <c r="I165" s="117"/>
      <c r="J165" s="117"/>
      <c r="K165" s="117"/>
    </row>
    <row r="166" spans="1:11" ht="15.75" x14ac:dyDescent="0.2">
      <c r="A166" s="117"/>
      <c r="B166" s="117"/>
      <c r="C166" s="117"/>
      <c r="D166" s="117"/>
      <c r="E166" s="117"/>
      <c r="F166" s="117"/>
      <c r="G166" s="117"/>
      <c r="H166" s="117"/>
      <c r="I166" s="117"/>
      <c r="J166" s="117"/>
      <c r="K166" s="117"/>
    </row>
    <row r="167" spans="1:11" ht="15.75" x14ac:dyDescent="0.2">
      <c r="A167" s="117"/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</row>
    <row r="168" spans="1:11" ht="15.75" x14ac:dyDescent="0.2">
      <c r="A168" s="117"/>
      <c r="B168" s="117"/>
      <c r="C168" s="117"/>
      <c r="D168" s="117"/>
      <c r="E168" s="117"/>
      <c r="F168" s="117"/>
      <c r="G168" s="117"/>
      <c r="H168" s="117"/>
      <c r="I168" s="117"/>
      <c r="J168" s="117"/>
      <c r="K168" s="117"/>
    </row>
    <row r="169" spans="1:11" ht="15.75" x14ac:dyDescent="0.2">
      <c r="A169" s="117"/>
      <c r="B169" s="117"/>
      <c r="C169" s="117"/>
      <c r="D169" s="117"/>
      <c r="E169" s="117"/>
      <c r="F169" s="117"/>
      <c r="G169" s="117"/>
      <c r="H169" s="117"/>
      <c r="I169" s="117"/>
      <c r="J169" s="117"/>
      <c r="K169" s="117"/>
    </row>
    <row r="170" spans="1:11" ht="15.75" x14ac:dyDescent="0.2">
      <c r="A170" s="117"/>
      <c r="B170" s="117"/>
      <c r="C170" s="117"/>
      <c r="D170" s="117"/>
      <c r="E170" s="117"/>
      <c r="F170" s="117"/>
      <c r="G170" s="117"/>
      <c r="H170" s="117"/>
      <c r="I170" s="117"/>
      <c r="J170" s="117"/>
      <c r="K170" s="117"/>
    </row>
    <row r="171" spans="1:11" ht="15.75" x14ac:dyDescent="0.2">
      <c r="A171" s="117"/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</row>
    <row r="172" spans="1:11" ht="15.75" x14ac:dyDescent="0.2">
      <c r="A172" s="117"/>
      <c r="B172" s="117"/>
      <c r="C172" s="117"/>
      <c r="D172" s="117"/>
      <c r="E172" s="117"/>
      <c r="F172" s="117"/>
      <c r="G172" s="117"/>
      <c r="H172" s="117"/>
      <c r="I172" s="117"/>
      <c r="J172" s="117"/>
      <c r="K172" s="117"/>
    </row>
    <row r="173" spans="1:11" ht="15.75" x14ac:dyDescent="0.2">
      <c r="A173" s="117"/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</row>
    <row r="174" spans="1:11" ht="15.75" x14ac:dyDescent="0.2">
      <c r="A174" s="117"/>
      <c r="B174" s="117"/>
      <c r="C174" s="117"/>
      <c r="D174" s="117"/>
      <c r="E174" s="117"/>
      <c r="F174" s="117"/>
      <c r="G174" s="117"/>
      <c r="H174" s="117"/>
      <c r="I174" s="117"/>
      <c r="J174" s="117"/>
      <c r="K174" s="117"/>
    </row>
    <row r="175" spans="1:11" ht="15.75" x14ac:dyDescent="0.2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</row>
    <row r="176" spans="1:11" ht="15.75" x14ac:dyDescent="0.2">
      <c r="A176" s="117"/>
      <c r="B176" s="117"/>
      <c r="C176" s="117"/>
      <c r="D176" s="117"/>
      <c r="E176" s="117"/>
      <c r="F176" s="117"/>
      <c r="G176" s="117"/>
      <c r="H176" s="117"/>
      <c r="I176" s="117"/>
      <c r="J176" s="117"/>
      <c r="K176" s="117"/>
    </row>
    <row r="177" spans="1:11" ht="15.75" x14ac:dyDescent="0.2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</row>
    <row r="178" spans="1:11" ht="15.75" x14ac:dyDescent="0.2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</row>
    <row r="179" spans="1:11" ht="15.75" x14ac:dyDescent="0.2">
      <c r="A179" s="117"/>
      <c r="B179" s="117"/>
      <c r="C179" s="117"/>
      <c r="D179" s="117"/>
      <c r="E179" s="117"/>
      <c r="F179" s="117"/>
      <c r="G179" s="117"/>
      <c r="H179" s="117"/>
      <c r="I179" s="117"/>
      <c r="J179" s="117"/>
      <c r="K179" s="117"/>
    </row>
    <row r="180" spans="1:11" ht="15.75" x14ac:dyDescent="0.2">
      <c r="A180" s="117"/>
      <c r="B180" s="117"/>
      <c r="C180" s="117"/>
      <c r="D180" s="117"/>
      <c r="E180" s="117"/>
      <c r="F180" s="117"/>
      <c r="G180" s="117"/>
      <c r="H180" s="117"/>
      <c r="I180" s="117"/>
      <c r="J180" s="117"/>
      <c r="K180" s="117"/>
    </row>
    <row r="181" spans="1:11" ht="15.75" x14ac:dyDescent="0.2">
      <c r="A181" s="117"/>
      <c r="B181" s="117"/>
      <c r="C181" s="117"/>
      <c r="D181" s="117"/>
      <c r="E181" s="117"/>
      <c r="F181" s="117"/>
      <c r="G181" s="117"/>
      <c r="H181" s="117"/>
      <c r="I181" s="117"/>
      <c r="J181" s="117"/>
      <c r="K181" s="117"/>
    </row>
    <row r="182" spans="1:11" ht="15.75" x14ac:dyDescent="0.2">
      <c r="A182" s="117"/>
      <c r="B182" s="117"/>
      <c r="C182" s="117"/>
      <c r="D182" s="117"/>
      <c r="E182" s="117"/>
      <c r="F182" s="117"/>
      <c r="G182" s="117"/>
      <c r="H182" s="117"/>
      <c r="I182" s="117"/>
      <c r="J182" s="117"/>
      <c r="K182" s="117"/>
    </row>
    <row r="183" spans="1:11" ht="15.75" x14ac:dyDescent="0.2">
      <c r="A183" s="117"/>
      <c r="B183" s="117"/>
      <c r="C183" s="117"/>
      <c r="D183" s="117"/>
      <c r="E183" s="117"/>
      <c r="F183" s="117"/>
      <c r="G183" s="117"/>
      <c r="H183" s="117"/>
      <c r="I183" s="117"/>
      <c r="J183" s="117"/>
      <c r="K183" s="117"/>
    </row>
    <row r="184" spans="1:11" ht="15.75" x14ac:dyDescent="0.2">
      <c r="A184" s="117"/>
      <c r="B184" s="117"/>
      <c r="C184" s="117"/>
      <c r="D184" s="117"/>
      <c r="E184" s="117"/>
      <c r="F184" s="117"/>
      <c r="G184" s="117"/>
      <c r="H184" s="117"/>
      <c r="I184" s="117"/>
      <c r="J184" s="117"/>
      <c r="K184" s="117"/>
    </row>
    <row r="185" spans="1:11" ht="15.75" x14ac:dyDescent="0.2">
      <c r="A185" s="117"/>
      <c r="B185" s="117"/>
      <c r="C185" s="117"/>
      <c r="D185" s="117"/>
      <c r="E185" s="117"/>
      <c r="F185" s="117"/>
      <c r="G185" s="117"/>
      <c r="H185" s="117"/>
      <c r="I185" s="117"/>
      <c r="J185" s="117"/>
      <c r="K185" s="117"/>
    </row>
    <row r="186" spans="1:11" ht="15.75" x14ac:dyDescent="0.2">
      <c r="A186" s="117"/>
      <c r="B186" s="117"/>
      <c r="C186" s="117"/>
      <c r="D186" s="117"/>
      <c r="E186" s="117"/>
      <c r="F186" s="117"/>
      <c r="G186" s="117"/>
      <c r="H186" s="117"/>
      <c r="I186" s="117"/>
      <c r="J186" s="117"/>
      <c r="K186" s="117"/>
    </row>
    <row r="187" spans="1:11" ht="15.75" x14ac:dyDescent="0.2">
      <c r="A187" s="117"/>
      <c r="B187" s="117"/>
      <c r="C187" s="117"/>
      <c r="D187" s="117"/>
      <c r="E187" s="117"/>
      <c r="F187" s="117"/>
      <c r="G187" s="117"/>
      <c r="H187" s="117"/>
      <c r="I187" s="117"/>
      <c r="J187" s="117"/>
      <c r="K187" s="117"/>
    </row>
    <row r="188" spans="1:11" ht="15.75" x14ac:dyDescent="0.2">
      <c r="A188" s="117"/>
      <c r="B188" s="117"/>
      <c r="C188" s="117"/>
      <c r="D188" s="117"/>
      <c r="E188" s="117"/>
      <c r="F188" s="117"/>
      <c r="G188" s="117"/>
      <c r="H188" s="117"/>
      <c r="I188" s="117"/>
      <c r="J188" s="117"/>
      <c r="K188" s="117"/>
    </row>
    <row r="189" spans="1:11" ht="15.75" x14ac:dyDescent="0.2">
      <c r="A189" s="117"/>
      <c r="B189" s="117"/>
      <c r="C189" s="117"/>
      <c r="D189" s="117"/>
      <c r="E189" s="117"/>
      <c r="F189" s="117"/>
      <c r="G189" s="117"/>
      <c r="H189" s="117"/>
      <c r="I189" s="117"/>
      <c r="J189" s="117"/>
      <c r="K189" s="117"/>
    </row>
    <row r="190" spans="1:11" ht="15.75" x14ac:dyDescent="0.2">
      <c r="A190" s="117"/>
      <c r="B190" s="117"/>
      <c r="C190" s="117"/>
      <c r="D190" s="117"/>
      <c r="E190" s="117"/>
      <c r="F190" s="117"/>
      <c r="G190" s="117"/>
      <c r="H190" s="117"/>
      <c r="I190" s="117"/>
      <c r="J190" s="117"/>
      <c r="K190" s="117"/>
    </row>
    <row r="191" spans="1:11" ht="15.75" x14ac:dyDescent="0.2">
      <c r="A191" s="117"/>
      <c r="B191" s="117"/>
      <c r="C191" s="117"/>
      <c r="D191" s="117"/>
      <c r="E191" s="117"/>
      <c r="F191" s="117"/>
      <c r="G191" s="117"/>
      <c r="H191" s="117"/>
      <c r="I191" s="117"/>
      <c r="J191" s="117"/>
      <c r="K191" s="117"/>
    </row>
    <row r="192" spans="1:11" ht="15.75" x14ac:dyDescent="0.2">
      <c r="A192" s="117"/>
      <c r="B192" s="117"/>
      <c r="C192" s="117"/>
      <c r="D192" s="117"/>
      <c r="E192" s="117"/>
      <c r="F192" s="117"/>
      <c r="G192" s="117"/>
      <c r="H192" s="117"/>
      <c r="I192" s="117"/>
      <c r="J192" s="117"/>
      <c r="K192" s="117"/>
    </row>
    <row r="193" spans="1:11" ht="15.75" x14ac:dyDescent="0.2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</row>
    <row r="194" spans="1:11" ht="15.75" x14ac:dyDescent="0.2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</row>
    <row r="195" spans="1:11" ht="15.75" x14ac:dyDescent="0.2">
      <c r="A195" s="117"/>
      <c r="B195" s="117"/>
      <c r="C195" s="117"/>
      <c r="D195" s="117"/>
      <c r="E195" s="117"/>
      <c r="F195" s="117"/>
      <c r="G195" s="117"/>
      <c r="H195" s="117"/>
      <c r="I195" s="117"/>
      <c r="J195" s="117"/>
      <c r="K195" s="117"/>
    </row>
    <row r="196" spans="1:11" ht="15.75" x14ac:dyDescent="0.2">
      <c r="A196" s="117"/>
      <c r="B196" s="117"/>
      <c r="C196" s="117"/>
      <c r="D196" s="117"/>
      <c r="E196" s="117"/>
      <c r="F196" s="117"/>
      <c r="G196" s="117"/>
      <c r="H196" s="117"/>
      <c r="I196" s="117"/>
      <c r="J196" s="117"/>
      <c r="K196" s="117"/>
    </row>
    <row r="197" spans="1:11" ht="15.75" x14ac:dyDescent="0.2">
      <c r="A197" s="117"/>
      <c r="B197" s="117"/>
      <c r="C197" s="117"/>
      <c r="D197" s="117"/>
      <c r="E197" s="117"/>
      <c r="F197" s="117"/>
      <c r="G197" s="117"/>
      <c r="H197" s="117"/>
      <c r="I197" s="117"/>
      <c r="J197" s="117"/>
      <c r="K197" s="117"/>
    </row>
    <row r="198" spans="1:11" ht="15.75" x14ac:dyDescent="0.2">
      <c r="A198" s="117"/>
      <c r="B198" s="117"/>
      <c r="C198" s="117"/>
      <c r="D198" s="117"/>
      <c r="E198" s="117"/>
      <c r="F198" s="117"/>
      <c r="G198" s="117"/>
      <c r="H198" s="117"/>
      <c r="I198" s="117"/>
      <c r="J198" s="117"/>
      <c r="K198" s="117"/>
    </row>
    <row r="199" spans="1:11" ht="15.75" x14ac:dyDescent="0.2">
      <c r="A199" s="117"/>
      <c r="B199" s="117"/>
      <c r="C199" s="117"/>
      <c r="D199" s="117"/>
      <c r="E199" s="117"/>
      <c r="F199" s="117"/>
      <c r="G199" s="117"/>
      <c r="H199" s="117"/>
      <c r="I199" s="117"/>
      <c r="J199" s="117"/>
      <c r="K199" s="117"/>
    </row>
    <row r="200" spans="1:11" ht="15.75" x14ac:dyDescent="0.2">
      <c r="A200" s="117"/>
      <c r="B200" s="117"/>
      <c r="C200" s="117"/>
      <c r="D200" s="117"/>
      <c r="E200" s="117"/>
      <c r="F200" s="117"/>
      <c r="G200" s="117"/>
      <c r="H200" s="117"/>
      <c r="I200" s="117"/>
      <c r="J200" s="117"/>
      <c r="K200" s="117"/>
    </row>
    <row r="201" spans="1:11" ht="15.75" x14ac:dyDescent="0.2">
      <c r="A201" s="117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</row>
    <row r="202" spans="1:11" ht="15.75" x14ac:dyDescent="0.2">
      <c r="A202" s="117"/>
      <c r="B202" s="117"/>
      <c r="C202" s="117"/>
      <c r="D202" s="117"/>
      <c r="E202" s="117"/>
      <c r="F202" s="117"/>
      <c r="G202" s="117"/>
      <c r="H202" s="117"/>
      <c r="I202" s="117"/>
      <c r="J202" s="117"/>
      <c r="K202" s="117"/>
    </row>
    <row r="203" spans="1:11" ht="15.75" x14ac:dyDescent="0.2">
      <c r="A203" s="117"/>
      <c r="B203" s="117"/>
      <c r="C203" s="117"/>
      <c r="D203" s="117"/>
      <c r="E203" s="117"/>
      <c r="F203" s="117"/>
      <c r="G203" s="117"/>
      <c r="H203" s="117"/>
      <c r="I203" s="117"/>
      <c r="J203" s="117"/>
      <c r="K203" s="117"/>
    </row>
    <row r="204" spans="1:11" ht="15.75" x14ac:dyDescent="0.2">
      <c r="A204" s="117"/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</row>
    <row r="205" spans="1:11" ht="15.75" x14ac:dyDescent="0.2">
      <c r="A205" s="117"/>
      <c r="B205" s="117"/>
      <c r="C205" s="117"/>
      <c r="D205" s="117"/>
      <c r="E205" s="117"/>
      <c r="F205" s="117"/>
      <c r="G205" s="117"/>
      <c r="H205" s="117"/>
      <c r="I205" s="117"/>
      <c r="J205" s="117"/>
      <c r="K205" s="117"/>
    </row>
    <row r="206" spans="1:11" ht="15.75" x14ac:dyDescent="0.2">
      <c r="A206" s="117"/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</row>
    <row r="207" spans="1:11" ht="15.75" x14ac:dyDescent="0.2">
      <c r="A207" s="117"/>
      <c r="B207" s="117"/>
      <c r="C207" s="117"/>
      <c r="D207" s="117"/>
      <c r="E207" s="117"/>
      <c r="F207" s="117"/>
      <c r="G207" s="117"/>
      <c r="H207" s="117"/>
      <c r="I207" s="117"/>
      <c r="J207" s="117"/>
      <c r="K207" s="117"/>
    </row>
    <row r="208" spans="1:11" ht="15.75" x14ac:dyDescent="0.2">
      <c r="A208" s="117"/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</row>
    <row r="209" spans="1:11" ht="15.75" x14ac:dyDescent="0.2">
      <c r="A209" s="117"/>
      <c r="B209" s="117"/>
      <c r="C209" s="117"/>
      <c r="D209" s="117"/>
      <c r="E209" s="117"/>
      <c r="F209" s="117"/>
      <c r="G209" s="117"/>
      <c r="H209" s="117"/>
      <c r="I209" s="117"/>
      <c r="J209" s="117"/>
      <c r="K209" s="117"/>
    </row>
    <row r="210" spans="1:11" ht="15.75" x14ac:dyDescent="0.2">
      <c r="A210" s="117"/>
      <c r="B210" s="117"/>
      <c r="C210" s="117"/>
      <c r="D210" s="117"/>
      <c r="E210" s="117"/>
      <c r="F210" s="117"/>
      <c r="G210" s="117"/>
      <c r="H210" s="117"/>
      <c r="I210" s="117"/>
      <c r="J210" s="117"/>
      <c r="K210" s="117"/>
    </row>
    <row r="211" spans="1:11" ht="15.75" x14ac:dyDescent="0.2">
      <c r="A211" s="117"/>
      <c r="B211" s="117"/>
      <c r="C211" s="117"/>
      <c r="D211" s="117"/>
      <c r="E211" s="117"/>
      <c r="F211" s="117"/>
      <c r="G211" s="117"/>
      <c r="H211" s="117"/>
      <c r="I211" s="117"/>
      <c r="J211" s="117"/>
      <c r="K211" s="117"/>
    </row>
    <row r="212" spans="1:11" ht="15.75" x14ac:dyDescent="0.2">
      <c r="A212" s="117"/>
      <c r="B212" s="117"/>
      <c r="C212" s="117"/>
      <c r="D212" s="117"/>
      <c r="E212" s="117"/>
      <c r="F212" s="117"/>
      <c r="G212" s="117"/>
      <c r="H212" s="117"/>
      <c r="I212" s="117"/>
      <c r="J212" s="117"/>
      <c r="K212" s="117"/>
    </row>
    <row r="213" spans="1:11" ht="15.75" x14ac:dyDescent="0.2">
      <c r="A213" s="117"/>
      <c r="B213" s="117"/>
      <c r="C213" s="117"/>
      <c r="D213" s="117"/>
      <c r="E213" s="117"/>
      <c r="F213" s="117"/>
      <c r="G213" s="117"/>
      <c r="H213" s="117"/>
      <c r="I213" s="117"/>
      <c r="J213" s="117"/>
      <c r="K213" s="117"/>
    </row>
    <row r="214" spans="1:11" ht="15.75" x14ac:dyDescent="0.2">
      <c r="A214" s="117"/>
      <c r="B214" s="117"/>
      <c r="C214" s="117"/>
      <c r="D214" s="117"/>
      <c r="E214" s="117"/>
      <c r="F214" s="117"/>
      <c r="G214" s="117"/>
      <c r="H214" s="117"/>
      <c r="I214" s="117"/>
      <c r="J214" s="117"/>
      <c r="K214" s="117"/>
    </row>
    <row r="215" spans="1:11" ht="15.75" x14ac:dyDescent="0.2">
      <c r="A215" s="117"/>
      <c r="B215" s="117"/>
      <c r="C215" s="117"/>
      <c r="D215" s="117"/>
      <c r="E215" s="117"/>
      <c r="F215" s="117"/>
      <c r="G215" s="117"/>
      <c r="H215" s="117"/>
      <c r="I215" s="117"/>
      <c r="J215" s="117"/>
      <c r="K215" s="117"/>
    </row>
    <row r="216" spans="1:11" ht="15.75" x14ac:dyDescent="0.2">
      <c r="A216" s="117"/>
      <c r="B216" s="117"/>
      <c r="C216" s="117"/>
      <c r="D216" s="117"/>
      <c r="E216" s="117"/>
      <c r="F216" s="117"/>
      <c r="G216" s="117"/>
      <c r="H216" s="117"/>
      <c r="I216" s="117"/>
      <c r="J216" s="117"/>
      <c r="K216" s="117"/>
    </row>
    <row r="217" spans="1:11" ht="15.75" x14ac:dyDescent="0.2">
      <c r="A217" s="117"/>
      <c r="B217" s="117"/>
      <c r="C217" s="117"/>
      <c r="D217" s="117"/>
      <c r="E217" s="117"/>
      <c r="F217" s="117"/>
      <c r="G217" s="117"/>
      <c r="H217" s="117"/>
      <c r="I217" s="117"/>
      <c r="J217" s="117"/>
      <c r="K217" s="117"/>
    </row>
    <row r="218" spans="1:11" ht="15.75" x14ac:dyDescent="0.2">
      <c r="A218" s="117"/>
      <c r="B218" s="117"/>
      <c r="C218" s="117"/>
      <c r="D218" s="117"/>
      <c r="E218" s="117"/>
      <c r="F218" s="117"/>
      <c r="G218" s="117"/>
      <c r="H218" s="117"/>
      <c r="I218" s="117"/>
      <c r="J218" s="117"/>
      <c r="K218" s="117"/>
    </row>
    <row r="219" spans="1:11" ht="15.75" x14ac:dyDescent="0.2">
      <c r="A219" s="117"/>
      <c r="B219" s="117"/>
      <c r="C219" s="117"/>
      <c r="D219" s="117"/>
      <c r="E219" s="117"/>
      <c r="F219" s="117"/>
      <c r="G219" s="117"/>
      <c r="H219" s="117"/>
      <c r="I219" s="117"/>
      <c r="J219" s="117"/>
      <c r="K219" s="117"/>
    </row>
    <row r="220" spans="1:11" ht="15.75" x14ac:dyDescent="0.2">
      <c r="A220" s="117"/>
      <c r="B220" s="117"/>
      <c r="C220" s="117"/>
      <c r="D220" s="117"/>
      <c r="E220" s="117"/>
      <c r="F220" s="117"/>
      <c r="G220" s="117"/>
      <c r="H220" s="117"/>
      <c r="I220" s="117"/>
      <c r="J220" s="117"/>
      <c r="K220" s="117"/>
    </row>
    <row r="221" spans="1:11" ht="15.75" x14ac:dyDescent="0.2">
      <c r="A221" s="117"/>
      <c r="B221" s="117"/>
      <c r="C221" s="117"/>
      <c r="D221" s="117"/>
      <c r="E221" s="117"/>
      <c r="F221" s="117"/>
      <c r="G221" s="117"/>
      <c r="H221" s="117"/>
      <c r="I221" s="117"/>
      <c r="J221" s="117"/>
      <c r="K221" s="117"/>
    </row>
    <row r="222" spans="1:11" ht="15.75" x14ac:dyDescent="0.2">
      <c r="A222" s="117"/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</row>
    <row r="223" spans="1:11" ht="15.75" x14ac:dyDescent="0.2">
      <c r="A223" s="117"/>
      <c r="B223" s="117"/>
      <c r="C223" s="117"/>
      <c r="D223" s="117"/>
      <c r="E223" s="117"/>
      <c r="F223" s="117"/>
      <c r="G223" s="117"/>
      <c r="H223" s="117"/>
      <c r="I223" s="117"/>
      <c r="J223" s="117"/>
      <c r="K223" s="117"/>
    </row>
    <row r="224" spans="1:11" ht="15.75" x14ac:dyDescent="0.2">
      <c r="A224" s="117"/>
      <c r="B224" s="117"/>
      <c r="C224" s="117"/>
      <c r="D224" s="117"/>
      <c r="E224" s="117"/>
      <c r="F224" s="117"/>
      <c r="G224" s="117"/>
      <c r="H224" s="117"/>
      <c r="I224" s="117"/>
      <c r="J224" s="117"/>
      <c r="K224" s="117"/>
    </row>
    <row r="225" spans="1:11" ht="15.75" x14ac:dyDescent="0.2">
      <c r="A225" s="117"/>
      <c r="B225" s="117"/>
      <c r="C225" s="117"/>
      <c r="D225" s="117"/>
      <c r="E225" s="117"/>
      <c r="F225" s="117"/>
      <c r="G225" s="117"/>
      <c r="H225" s="117"/>
      <c r="I225" s="117"/>
      <c r="J225" s="117"/>
      <c r="K225" s="117"/>
    </row>
    <row r="226" spans="1:11" ht="15.75" x14ac:dyDescent="0.2">
      <c r="A226" s="117"/>
      <c r="B226" s="117"/>
      <c r="C226" s="117"/>
      <c r="D226" s="117"/>
      <c r="E226" s="117"/>
      <c r="F226" s="117"/>
      <c r="G226" s="117"/>
      <c r="H226" s="117"/>
      <c r="I226" s="117"/>
      <c r="J226" s="117"/>
      <c r="K226" s="117"/>
    </row>
    <row r="227" spans="1:11" ht="15.75" x14ac:dyDescent="0.2">
      <c r="A227" s="117"/>
      <c r="B227" s="117"/>
      <c r="C227" s="117"/>
      <c r="D227" s="117"/>
      <c r="E227" s="117"/>
      <c r="F227" s="117"/>
      <c r="G227" s="117"/>
      <c r="H227" s="117"/>
      <c r="I227" s="117"/>
      <c r="J227" s="117"/>
      <c r="K227" s="117"/>
    </row>
    <row r="228" spans="1:11" ht="15.75" x14ac:dyDescent="0.2">
      <c r="A228" s="117"/>
      <c r="B228" s="117"/>
      <c r="C228" s="117"/>
      <c r="D228" s="117"/>
      <c r="E228" s="117"/>
      <c r="F228" s="117"/>
      <c r="G228" s="117"/>
      <c r="H228" s="117"/>
      <c r="I228" s="117"/>
      <c r="J228" s="117"/>
      <c r="K228" s="117"/>
    </row>
    <row r="229" spans="1:11" ht="15.75" x14ac:dyDescent="0.2">
      <c r="A229" s="117"/>
      <c r="B229" s="117"/>
      <c r="C229" s="117"/>
      <c r="D229" s="117"/>
      <c r="E229" s="117"/>
      <c r="F229" s="117"/>
      <c r="G229" s="117"/>
      <c r="H229" s="117"/>
      <c r="I229" s="117"/>
      <c r="J229" s="117"/>
      <c r="K229" s="117"/>
    </row>
    <row r="230" spans="1:11" ht="15.75" x14ac:dyDescent="0.2">
      <c r="A230" s="117"/>
      <c r="B230" s="117"/>
      <c r="C230" s="117"/>
      <c r="D230" s="117"/>
      <c r="E230" s="117"/>
      <c r="F230" s="117"/>
      <c r="G230" s="117"/>
      <c r="H230" s="117"/>
      <c r="I230" s="117"/>
      <c r="J230" s="117"/>
      <c r="K230" s="117"/>
    </row>
    <row r="231" spans="1:11" ht="15.75" x14ac:dyDescent="0.2">
      <c r="A231" s="117"/>
      <c r="B231" s="117"/>
      <c r="C231" s="117"/>
      <c r="D231" s="117"/>
      <c r="E231" s="117"/>
      <c r="F231" s="117"/>
      <c r="G231" s="117"/>
      <c r="H231" s="117"/>
      <c r="I231" s="117"/>
      <c r="J231" s="117"/>
      <c r="K231" s="117"/>
    </row>
    <row r="232" spans="1:11" ht="15.75" x14ac:dyDescent="0.2">
      <c r="A232" s="117"/>
      <c r="B232" s="117"/>
      <c r="C232" s="117"/>
      <c r="D232" s="117"/>
      <c r="E232" s="117"/>
      <c r="F232" s="117"/>
      <c r="G232" s="117"/>
      <c r="H232" s="117"/>
      <c r="I232" s="117"/>
      <c r="J232" s="117"/>
      <c r="K232" s="117"/>
    </row>
    <row r="233" spans="1:11" ht="15.75" x14ac:dyDescent="0.2">
      <c r="A233" s="117"/>
      <c r="B233" s="117"/>
      <c r="C233" s="117"/>
      <c r="D233" s="117"/>
      <c r="E233" s="117"/>
      <c r="F233" s="117"/>
      <c r="G233" s="117"/>
      <c r="H233" s="117"/>
      <c r="I233" s="117"/>
      <c r="J233" s="117"/>
      <c r="K233" s="117"/>
    </row>
    <row r="234" spans="1:11" ht="15.75" x14ac:dyDescent="0.2">
      <c r="A234" s="117"/>
      <c r="B234" s="117"/>
      <c r="C234" s="117"/>
      <c r="D234" s="117"/>
      <c r="E234" s="117"/>
      <c r="F234" s="117"/>
      <c r="G234" s="117"/>
      <c r="H234" s="117"/>
      <c r="I234" s="117"/>
      <c r="J234" s="117"/>
      <c r="K234" s="117"/>
    </row>
    <row r="235" spans="1:11" ht="15.75" x14ac:dyDescent="0.2">
      <c r="A235" s="117"/>
      <c r="B235" s="117"/>
      <c r="C235" s="117"/>
      <c r="D235" s="117"/>
      <c r="E235" s="117"/>
      <c r="F235" s="117"/>
      <c r="G235" s="117"/>
      <c r="H235" s="117"/>
      <c r="I235" s="117"/>
      <c r="J235" s="117"/>
      <c r="K235" s="117"/>
    </row>
    <row r="236" spans="1:11" ht="15.75" x14ac:dyDescent="0.2">
      <c r="A236" s="117"/>
      <c r="B236" s="117"/>
      <c r="C236" s="117"/>
      <c r="D236" s="117"/>
      <c r="E236" s="117"/>
      <c r="F236" s="117"/>
      <c r="G236" s="117"/>
      <c r="H236" s="117"/>
      <c r="I236" s="117"/>
      <c r="J236" s="117"/>
      <c r="K236" s="117"/>
    </row>
    <row r="237" spans="1:11" ht="15.75" x14ac:dyDescent="0.2">
      <c r="A237" s="117"/>
      <c r="B237" s="117"/>
      <c r="C237" s="117"/>
      <c r="D237" s="117"/>
      <c r="E237" s="117"/>
      <c r="F237" s="117"/>
      <c r="G237" s="117"/>
      <c r="H237" s="117"/>
      <c r="I237" s="117"/>
      <c r="J237" s="117"/>
      <c r="K237" s="117"/>
    </row>
    <row r="238" spans="1:11" ht="15.75" x14ac:dyDescent="0.2">
      <c r="A238" s="117"/>
      <c r="B238" s="117"/>
      <c r="C238" s="117"/>
      <c r="D238" s="117"/>
      <c r="E238" s="117"/>
      <c r="F238" s="117"/>
      <c r="G238" s="117"/>
      <c r="H238" s="117"/>
      <c r="I238" s="117"/>
      <c r="J238" s="117"/>
      <c r="K238" s="117"/>
    </row>
    <row r="239" spans="1:11" ht="15.75" x14ac:dyDescent="0.2">
      <c r="A239" s="117"/>
      <c r="B239" s="117"/>
      <c r="C239" s="117"/>
      <c r="D239" s="117"/>
      <c r="E239" s="117"/>
      <c r="F239" s="117"/>
      <c r="G239" s="117"/>
      <c r="H239" s="117"/>
      <c r="I239" s="117"/>
      <c r="J239" s="117"/>
      <c r="K239" s="117"/>
    </row>
    <row r="240" spans="1:11" ht="15.75" x14ac:dyDescent="0.2">
      <c r="A240" s="117"/>
      <c r="B240" s="117"/>
      <c r="C240" s="117"/>
      <c r="D240" s="117"/>
      <c r="E240" s="117"/>
      <c r="F240" s="117"/>
      <c r="G240" s="117"/>
      <c r="H240" s="117"/>
      <c r="I240" s="117"/>
      <c r="J240" s="117"/>
      <c r="K240" s="117"/>
    </row>
    <row r="241" spans="1:11" ht="15.75" x14ac:dyDescent="0.2">
      <c r="A241" s="117"/>
      <c r="B241" s="117"/>
      <c r="C241" s="117"/>
      <c r="D241" s="117"/>
      <c r="E241" s="117"/>
      <c r="F241" s="117"/>
      <c r="G241" s="117"/>
      <c r="H241" s="117"/>
      <c r="I241" s="117"/>
      <c r="J241" s="117"/>
      <c r="K241" s="117"/>
    </row>
    <row r="242" spans="1:11" ht="15.75" x14ac:dyDescent="0.2">
      <c r="A242" s="117"/>
      <c r="B242" s="117"/>
      <c r="C242" s="117"/>
      <c r="D242" s="117"/>
      <c r="E242" s="117"/>
      <c r="F242" s="117"/>
      <c r="G242" s="117"/>
      <c r="H242" s="117"/>
      <c r="I242" s="117"/>
      <c r="J242" s="117"/>
      <c r="K242" s="117"/>
    </row>
    <row r="243" spans="1:11" ht="15.75" x14ac:dyDescent="0.2">
      <c r="A243" s="117"/>
      <c r="B243" s="117"/>
      <c r="C243" s="117"/>
      <c r="D243" s="117"/>
      <c r="E243" s="117"/>
      <c r="F243" s="117"/>
      <c r="G243" s="117"/>
      <c r="H243" s="117"/>
      <c r="I243" s="117"/>
      <c r="J243" s="117"/>
      <c r="K243" s="117"/>
    </row>
    <row r="244" spans="1:11" ht="15.75" x14ac:dyDescent="0.2">
      <c r="A244" s="117"/>
      <c r="B244" s="117"/>
      <c r="C244" s="117"/>
      <c r="D244" s="117"/>
      <c r="E244" s="117"/>
      <c r="F244" s="117"/>
      <c r="G244" s="117"/>
      <c r="H244" s="117"/>
      <c r="I244" s="117"/>
      <c r="J244" s="117"/>
      <c r="K244" s="117"/>
    </row>
    <row r="245" spans="1:11" ht="15.75" x14ac:dyDescent="0.2">
      <c r="A245" s="117"/>
      <c r="B245" s="117"/>
      <c r="C245" s="117"/>
      <c r="D245" s="117"/>
      <c r="E245" s="117"/>
      <c r="F245" s="117"/>
      <c r="G245" s="117"/>
      <c r="H245" s="117"/>
      <c r="I245" s="117"/>
      <c r="J245" s="117"/>
      <c r="K245" s="117"/>
    </row>
    <row r="246" spans="1:11" ht="15.75" x14ac:dyDescent="0.2">
      <c r="A246" s="117"/>
      <c r="B246" s="117"/>
      <c r="C246" s="117"/>
      <c r="D246" s="117"/>
      <c r="E246" s="117"/>
      <c r="F246" s="117"/>
      <c r="G246" s="117"/>
      <c r="H246" s="117"/>
      <c r="I246" s="117"/>
      <c r="J246" s="117"/>
      <c r="K246" s="117"/>
    </row>
    <row r="247" spans="1:11" ht="15.75" x14ac:dyDescent="0.2">
      <c r="A247" s="117"/>
      <c r="B247" s="117"/>
      <c r="C247" s="117"/>
      <c r="D247" s="117"/>
      <c r="E247" s="117"/>
      <c r="F247" s="117"/>
      <c r="G247" s="117"/>
      <c r="H247" s="117"/>
      <c r="I247" s="117"/>
      <c r="J247" s="117"/>
      <c r="K247" s="117"/>
    </row>
    <row r="248" spans="1:11" ht="15.75" x14ac:dyDescent="0.2">
      <c r="A248" s="117"/>
      <c r="B248" s="117"/>
      <c r="C248" s="117"/>
      <c r="D248" s="117"/>
      <c r="E248" s="117"/>
      <c r="F248" s="117"/>
      <c r="G248" s="117"/>
      <c r="H248" s="117"/>
      <c r="I248" s="117"/>
      <c r="J248" s="117"/>
      <c r="K248" s="117"/>
    </row>
    <row r="249" spans="1:11" ht="15.75" x14ac:dyDescent="0.2">
      <c r="A249" s="117"/>
      <c r="B249" s="117"/>
      <c r="C249" s="117"/>
      <c r="D249" s="117"/>
      <c r="E249" s="117"/>
      <c r="F249" s="117"/>
      <c r="G249" s="117"/>
      <c r="H249" s="117"/>
      <c r="I249" s="117"/>
      <c r="J249" s="117"/>
      <c r="K249" s="117"/>
    </row>
    <row r="250" spans="1:11" ht="15.75" x14ac:dyDescent="0.2">
      <c r="A250" s="117"/>
      <c r="B250" s="117"/>
      <c r="C250" s="117"/>
      <c r="D250" s="117"/>
      <c r="E250" s="117"/>
      <c r="F250" s="117"/>
      <c r="G250" s="117"/>
      <c r="H250" s="117"/>
      <c r="I250" s="117"/>
      <c r="J250" s="117"/>
      <c r="K250" s="117"/>
    </row>
    <row r="251" spans="1:11" ht="15.75" x14ac:dyDescent="0.2">
      <c r="A251" s="117"/>
      <c r="B251" s="117"/>
      <c r="C251" s="117"/>
      <c r="D251" s="117"/>
      <c r="E251" s="117"/>
      <c r="F251" s="117"/>
      <c r="G251" s="117"/>
      <c r="H251" s="117"/>
      <c r="I251" s="117"/>
      <c r="J251" s="117"/>
      <c r="K251" s="117"/>
    </row>
    <row r="252" spans="1:11" ht="15.75" x14ac:dyDescent="0.2">
      <c r="A252" s="117"/>
      <c r="B252" s="117"/>
      <c r="C252" s="117"/>
      <c r="D252" s="117"/>
      <c r="E252" s="117"/>
      <c r="F252" s="117"/>
      <c r="G252" s="117"/>
      <c r="H252" s="117"/>
      <c r="I252" s="117"/>
      <c r="J252" s="117"/>
      <c r="K252" s="117"/>
    </row>
    <row r="253" spans="1:11" ht="15.75" x14ac:dyDescent="0.2">
      <c r="A253" s="117"/>
      <c r="B253" s="117"/>
      <c r="C253" s="117"/>
      <c r="D253" s="117"/>
      <c r="E253" s="117"/>
      <c r="F253" s="117"/>
      <c r="G253" s="117"/>
      <c r="H253" s="117"/>
      <c r="I253" s="117"/>
      <c r="J253" s="117"/>
      <c r="K253" s="117"/>
    </row>
    <row r="254" spans="1:11" ht="15.75" x14ac:dyDescent="0.2">
      <c r="A254" s="117"/>
      <c r="B254" s="117"/>
      <c r="C254" s="117"/>
      <c r="D254" s="117"/>
      <c r="E254" s="117"/>
      <c r="F254" s="117"/>
      <c r="G254" s="117"/>
      <c r="H254" s="117"/>
      <c r="I254" s="117"/>
      <c r="J254" s="117"/>
      <c r="K254" s="117"/>
    </row>
    <row r="255" spans="1:11" ht="15.75" x14ac:dyDescent="0.2">
      <c r="A255" s="117"/>
      <c r="B255" s="117"/>
      <c r="C255" s="117"/>
      <c r="D255" s="117"/>
      <c r="E255" s="117"/>
      <c r="F255" s="117"/>
      <c r="G255" s="117"/>
      <c r="H255" s="117"/>
      <c r="I255" s="117"/>
      <c r="J255" s="117"/>
      <c r="K255" s="117"/>
    </row>
    <row r="256" spans="1:11" ht="15.75" x14ac:dyDescent="0.2">
      <c r="A256" s="117"/>
      <c r="B256" s="117"/>
      <c r="C256" s="117"/>
      <c r="D256" s="117"/>
      <c r="E256" s="117"/>
      <c r="F256" s="117"/>
      <c r="G256" s="117"/>
      <c r="H256" s="117"/>
      <c r="I256" s="117"/>
      <c r="J256" s="117"/>
      <c r="K256" s="117"/>
    </row>
    <row r="257" spans="1:11" ht="15.75" x14ac:dyDescent="0.2">
      <c r="A257" s="117"/>
      <c r="B257" s="117"/>
      <c r="C257" s="117"/>
      <c r="D257" s="117"/>
      <c r="E257" s="117"/>
      <c r="F257" s="117"/>
      <c r="G257" s="117"/>
      <c r="H257" s="117"/>
      <c r="I257" s="117"/>
      <c r="J257" s="117"/>
      <c r="K257" s="117"/>
    </row>
    <row r="258" spans="1:11" ht="15.75" x14ac:dyDescent="0.2">
      <c r="A258" s="117"/>
      <c r="B258" s="117"/>
      <c r="C258" s="117"/>
      <c r="D258" s="117"/>
      <c r="E258" s="117"/>
      <c r="F258" s="117"/>
      <c r="G258" s="117"/>
      <c r="H258" s="117"/>
      <c r="I258" s="117"/>
      <c r="J258" s="117"/>
      <c r="K258" s="117"/>
    </row>
    <row r="259" spans="1:11" ht="15.75" x14ac:dyDescent="0.2">
      <c r="A259" s="117"/>
      <c r="B259" s="117"/>
      <c r="C259" s="117"/>
      <c r="D259" s="117"/>
      <c r="E259" s="117"/>
      <c r="F259" s="117"/>
      <c r="G259" s="117"/>
      <c r="H259" s="117"/>
      <c r="I259" s="117"/>
      <c r="J259" s="117"/>
      <c r="K259" s="117"/>
    </row>
    <row r="260" spans="1:11" ht="15.75" x14ac:dyDescent="0.2">
      <c r="A260" s="117"/>
      <c r="B260" s="117"/>
      <c r="C260" s="117"/>
      <c r="D260" s="117"/>
      <c r="E260" s="117"/>
      <c r="F260" s="117"/>
      <c r="G260" s="117"/>
      <c r="H260" s="117"/>
      <c r="I260" s="117"/>
      <c r="J260" s="117"/>
      <c r="K260" s="117"/>
    </row>
    <row r="261" spans="1:11" ht="15.75" x14ac:dyDescent="0.2">
      <c r="A261" s="117"/>
      <c r="B261" s="117"/>
      <c r="C261" s="117"/>
      <c r="D261" s="117"/>
      <c r="E261" s="117"/>
      <c r="F261" s="117"/>
      <c r="G261" s="117"/>
      <c r="H261" s="117"/>
      <c r="I261" s="117"/>
      <c r="J261" s="117"/>
      <c r="K261" s="117"/>
    </row>
    <row r="262" spans="1:11" ht="15.75" x14ac:dyDescent="0.2">
      <c r="A262" s="117"/>
      <c r="B262" s="117"/>
      <c r="C262" s="117"/>
      <c r="D262" s="117"/>
      <c r="E262" s="117"/>
      <c r="F262" s="117"/>
      <c r="G262" s="117"/>
      <c r="H262" s="117"/>
      <c r="I262" s="117"/>
      <c r="J262" s="117"/>
      <c r="K262" s="117"/>
    </row>
    <row r="263" spans="1:11" ht="15.75" x14ac:dyDescent="0.2">
      <c r="A263" s="117"/>
      <c r="B263" s="117"/>
      <c r="C263" s="117"/>
      <c r="D263" s="117"/>
      <c r="E263" s="117"/>
      <c r="F263" s="117"/>
      <c r="G263" s="117"/>
      <c r="H263" s="117"/>
      <c r="I263" s="117"/>
      <c r="J263" s="117"/>
      <c r="K263" s="117"/>
    </row>
    <row r="264" spans="1:11" ht="15.75" x14ac:dyDescent="0.2">
      <c r="A264" s="117"/>
      <c r="B264" s="117"/>
      <c r="C264" s="117"/>
      <c r="D264" s="117"/>
      <c r="E264" s="117"/>
      <c r="F264" s="117"/>
      <c r="G264" s="117"/>
      <c r="H264" s="117"/>
      <c r="I264" s="117"/>
      <c r="J264" s="117"/>
      <c r="K264" s="117"/>
    </row>
    <row r="265" spans="1:11" ht="15.75" x14ac:dyDescent="0.2">
      <c r="A265" s="117"/>
      <c r="B265" s="117"/>
      <c r="C265" s="117"/>
      <c r="D265" s="117"/>
      <c r="E265" s="117"/>
      <c r="F265" s="117"/>
      <c r="G265" s="117"/>
      <c r="H265" s="117"/>
      <c r="I265" s="117"/>
      <c r="J265" s="117"/>
      <c r="K265" s="117"/>
    </row>
    <row r="266" spans="1:11" ht="15.75" x14ac:dyDescent="0.2">
      <c r="A266" s="117"/>
      <c r="B266" s="117"/>
      <c r="C266" s="117"/>
      <c r="D266" s="117"/>
      <c r="E266" s="117"/>
      <c r="F266" s="117"/>
      <c r="G266" s="117"/>
      <c r="H266" s="117"/>
      <c r="I266" s="117"/>
      <c r="J266" s="117"/>
      <c r="K266" s="117"/>
    </row>
    <row r="267" spans="1:11" ht="15.75" x14ac:dyDescent="0.2">
      <c r="A267" s="117"/>
      <c r="B267" s="117"/>
      <c r="C267" s="117"/>
      <c r="D267" s="117"/>
      <c r="E267" s="117"/>
      <c r="F267" s="117"/>
      <c r="G267" s="117"/>
      <c r="H267" s="117"/>
      <c r="I267" s="117"/>
      <c r="J267" s="117"/>
      <c r="K267" s="117"/>
    </row>
    <row r="268" spans="1:11" ht="15.75" x14ac:dyDescent="0.2">
      <c r="A268" s="117"/>
      <c r="B268" s="117"/>
      <c r="C268" s="117"/>
      <c r="D268" s="117"/>
      <c r="E268" s="117"/>
      <c r="F268" s="117"/>
      <c r="G268" s="117"/>
      <c r="H268" s="117"/>
      <c r="I268" s="117"/>
      <c r="J268" s="117"/>
      <c r="K268" s="117"/>
    </row>
    <row r="269" spans="1:11" ht="15.75" x14ac:dyDescent="0.2">
      <c r="A269" s="117"/>
      <c r="B269" s="117"/>
      <c r="C269" s="117"/>
      <c r="D269" s="117"/>
      <c r="E269" s="117"/>
      <c r="F269" s="117"/>
      <c r="G269" s="117"/>
      <c r="H269" s="117"/>
      <c r="I269" s="117"/>
      <c r="J269" s="117"/>
      <c r="K269" s="117"/>
    </row>
    <row r="270" spans="1:11" ht="15.75" x14ac:dyDescent="0.2">
      <c r="A270" s="117"/>
      <c r="B270" s="117"/>
      <c r="C270" s="117"/>
      <c r="D270" s="117"/>
      <c r="E270" s="117"/>
      <c r="F270" s="117"/>
      <c r="G270" s="117"/>
      <c r="H270" s="117"/>
      <c r="I270" s="117"/>
      <c r="J270" s="117"/>
      <c r="K270" s="117"/>
    </row>
    <row r="271" spans="1:11" ht="15.75" x14ac:dyDescent="0.2">
      <c r="A271" s="117"/>
      <c r="B271" s="117"/>
      <c r="C271" s="117"/>
      <c r="D271" s="117"/>
      <c r="E271" s="117"/>
      <c r="F271" s="117"/>
      <c r="G271" s="117"/>
      <c r="H271" s="117"/>
      <c r="I271" s="117"/>
      <c r="J271" s="117"/>
      <c r="K271" s="117"/>
    </row>
    <row r="272" spans="1:11" ht="15.75" x14ac:dyDescent="0.2">
      <c r="A272" s="117"/>
      <c r="B272" s="117"/>
      <c r="C272" s="117"/>
      <c r="D272" s="117"/>
      <c r="E272" s="117"/>
      <c r="F272" s="117"/>
      <c r="G272" s="117"/>
      <c r="H272" s="117"/>
      <c r="I272" s="117"/>
      <c r="J272" s="117"/>
      <c r="K272" s="117"/>
    </row>
    <row r="273" spans="1:11" ht="15.75" x14ac:dyDescent="0.2">
      <c r="A273" s="117"/>
      <c r="B273" s="117"/>
      <c r="C273" s="117"/>
      <c r="D273" s="117"/>
      <c r="E273" s="117"/>
      <c r="F273" s="117"/>
      <c r="G273" s="117"/>
      <c r="H273" s="117"/>
      <c r="I273" s="117"/>
      <c r="J273" s="117"/>
      <c r="K273" s="117"/>
    </row>
    <row r="274" spans="1:11" ht="15.75" x14ac:dyDescent="0.2">
      <c r="A274" s="117"/>
      <c r="B274" s="117"/>
      <c r="C274" s="117"/>
      <c r="D274" s="117"/>
      <c r="E274" s="117"/>
      <c r="F274" s="117"/>
      <c r="G274" s="117"/>
      <c r="H274" s="117"/>
      <c r="I274" s="117"/>
      <c r="J274" s="117"/>
      <c r="K274" s="117"/>
    </row>
    <row r="275" spans="1:11" ht="15.75" x14ac:dyDescent="0.2">
      <c r="A275" s="117"/>
      <c r="B275" s="117"/>
      <c r="C275" s="117"/>
      <c r="D275" s="117"/>
      <c r="E275" s="117"/>
      <c r="F275" s="117"/>
      <c r="G275" s="117"/>
      <c r="H275" s="117"/>
      <c r="I275" s="117"/>
      <c r="J275" s="117"/>
      <c r="K275" s="117"/>
    </row>
    <row r="276" spans="1:11" ht="15.75" x14ac:dyDescent="0.2">
      <c r="A276" s="117"/>
      <c r="B276" s="117"/>
      <c r="C276" s="117"/>
      <c r="D276" s="117"/>
      <c r="E276" s="117"/>
      <c r="F276" s="117"/>
      <c r="G276" s="117"/>
      <c r="H276" s="117"/>
      <c r="I276" s="117"/>
      <c r="J276" s="117"/>
      <c r="K276" s="117"/>
    </row>
    <row r="277" spans="1:11" ht="15.75" x14ac:dyDescent="0.2">
      <c r="A277" s="117"/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</row>
    <row r="278" spans="1:11" ht="15.75" x14ac:dyDescent="0.2">
      <c r="A278" s="117"/>
      <c r="B278" s="117"/>
      <c r="C278" s="117"/>
      <c r="D278" s="117"/>
      <c r="E278" s="117"/>
      <c r="F278" s="117"/>
      <c r="G278" s="117"/>
      <c r="H278" s="117"/>
      <c r="I278" s="117"/>
      <c r="J278" s="117"/>
      <c r="K278" s="117"/>
    </row>
    <row r="279" spans="1:11" ht="15.75" x14ac:dyDescent="0.2">
      <c r="A279" s="117"/>
      <c r="B279" s="117"/>
      <c r="C279" s="117"/>
      <c r="D279" s="117"/>
      <c r="E279" s="117"/>
      <c r="F279" s="117"/>
      <c r="G279" s="117"/>
      <c r="H279" s="117"/>
      <c r="I279" s="117"/>
      <c r="J279" s="117"/>
      <c r="K279" s="117"/>
    </row>
    <row r="280" spans="1:11" ht="15.75" x14ac:dyDescent="0.2">
      <c r="A280" s="117"/>
      <c r="B280" s="117"/>
      <c r="C280" s="117"/>
      <c r="D280" s="117"/>
      <c r="E280" s="117"/>
      <c r="F280" s="117"/>
      <c r="G280" s="117"/>
      <c r="H280" s="117"/>
      <c r="I280" s="117"/>
      <c r="J280" s="117"/>
      <c r="K280" s="117"/>
    </row>
    <row r="281" spans="1:11" ht="15.75" x14ac:dyDescent="0.2">
      <c r="A281" s="117"/>
      <c r="B281" s="117"/>
      <c r="C281" s="117"/>
      <c r="D281" s="117"/>
      <c r="E281" s="117"/>
      <c r="F281" s="117"/>
      <c r="G281" s="117"/>
      <c r="H281" s="117"/>
      <c r="I281" s="117"/>
      <c r="J281" s="117"/>
      <c r="K281" s="117"/>
    </row>
    <row r="282" spans="1:11" ht="15.75" x14ac:dyDescent="0.2">
      <c r="A282" s="117"/>
      <c r="B282" s="117"/>
      <c r="C282" s="117"/>
      <c r="D282" s="117"/>
      <c r="E282" s="117"/>
      <c r="F282" s="117"/>
      <c r="G282" s="117"/>
      <c r="H282" s="117"/>
      <c r="I282" s="117"/>
      <c r="J282" s="117"/>
      <c r="K282" s="117"/>
    </row>
    <row r="283" spans="1:11" ht="15.75" x14ac:dyDescent="0.2">
      <c r="A283" s="117"/>
      <c r="B283" s="117"/>
      <c r="C283" s="117"/>
      <c r="D283" s="117"/>
      <c r="E283" s="117"/>
      <c r="F283" s="117"/>
      <c r="G283" s="117"/>
      <c r="H283" s="117"/>
      <c r="I283" s="117"/>
      <c r="J283" s="117"/>
      <c r="K283" s="117"/>
    </row>
    <row r="284" spans="1:11" ht="15.75" x14ac:dyDescent="0.2">
      <c r="A284" s="117"/>
      <c r="B284" s="117"/>
      <c r="C284" s="117"/>
      <c r="D284" s="117"/>
      <c r="E284" s="117"/>
      <c r="F284" s="117"/>
      <c r="G284" s="117"/>
      <c r="H284" s="117"/>
      <c r="I284" s="117"/>
      <c r="J284" s="117"/>
      <c r="K284" s="117"/>
    </row>
    <row r="285" spans="1:11" ht="15.75" x14ac:dyDescent="0.2">
      <c r="A285" s="117"/>
      <c r="B285" s="117"/>
      <c r="C285" s="117"/>
      <c r="D285" s="117"/>
      <c r="E285" s="117"/>
      <c r="F285" s="117"/>
      <c r="G285" s="117"/>
      <c r="H285" s="117"/>
      <c r="I285" s="117"/>
      <c r="J285" s="117"/>
      <c r="K285" s="117"/>
    </row>
    <row r="286" spans="1:11" ht="15.75" x14ac:dyDescent="0.2">
      <c r="A286" s="117"/>
      <c r="B286" s="117"/>
      <c r="C286" s="117"/>
      <c r="D286" s="117"/>
      <c r="E286" s="117"/>
      <c r="F286" s="117"/>
      <c r="G286" s="117"/>
      <c r="H286" s="117"/>
      <c r="I286" s="117"/>
      <c r="J286" s="117"/>
      <c r="K286" s="117"/>
    </row>
    <row r="287" spans="1:11" ht="15.75" x14ac:dyDescent="0.2">
      <c r="A287" s="117"/>
      <c r="B287" s="117"/>
      <c r="C287" s="117"/>
      <c r="D287" s="117"/>
      <c r="E287" s="117"/>
      <c r="F287" s="117"/>
      <c r="G287" s="117"/>
      <c r="H287" s="117"/>
      <c r="I287" s="117"/>
      <c r="J287" s="117"/>
      <c r="K287" s="117"/>
    </row>
    <row r="288" spans="1:11" ht="15.75" x14ac:dyDescent="0.2">
      <c r="A288" s="117"/>
      <c r="B288" s="117"/>
      <c r="C288" s="117"/>
      <c r="D288" s="117"/>
      <c r="E288" s="117"/>
      <c r="F288" s="117"/>
      <c r="G288" s="117"/>
      <c r="H288" s="117"/>
      <c r="I288" s="117"/>
      <c r="J288" s="117"/>
      <c r="K288" s="117"/>
    </row>
    <row r="289" spans="1:11" ht="15.75" x14ac:dyDescent="0.2">
      <c r="A289" s="117"/>
      <c r="B289" s="117"/>
      <c r="C289" s="117"/>
      <c r="D289" s="117"/>
      <c r="E289" s="117"/>
      <c r="F289" s="117"/>
      <c r="G289" s="117"/>
      <c r="H289" s="117"/>
      <c r="I289" s="117"/>
      <c r="J289" s="117"/>
      <c r="K289" s="117"/>
    </row>
    <row r="290" spans="1:11" ht="15.75" x14ac:dyDescent="0.2">
      <c r="A290" s="117"/>
      <c r="B290" s="117"/>
      <c r="C290" s="117"/>
      <c r="D290" s="117"/>
      <c r="E290" s="117"/>
      <c r="F290" s="117"/>
      <c r="G290" s="117"/>
      <c r="H290" s="117"/>
      <c r="I290" s="117"/>
      <c r="J290" s="117"/>
      <c r="K290" s="117"/>
    </row>
    <row r="291" spans="1:11" ht="15.75" x14ac:dyDescent="0.2">
      <c r="A291" s="117"/>
      <c r="B291" s="117"/>
      <c r="C291" s="117"/>
      <c r="D291" s="117"/>
      <c r="E291" s="117"/>
      <c r="F291" s="117"/>
      <c r="G291" s="117"/>
      <c r="H291" s="117"/>
      <c r="I291" s="117"/>
      <c r="J291" s="117"/>
      <c r="K291" s="117"/>
    </row>
    <row r="292" spans="1:11" ht="15.75" x14ac:dyDescent="0.2">
      <c r="A292" s="117"/>
      <c r="B292" s="117"/>
      <c r="C292" s="117"/>
      <c r="D292" s="117"/>
      <c r="E292" s="117"/>
      <c r="F292" s="117"/>
      <c r="G292" s="117"/>
      <c r="H292" s="117"/>
      <c r="I292" s="117"/>
      <c r="J292" s="117"/>
      <c r="K292" s="117"/>
    </row>
    <row r="293" spans="1:11" ht="15.75" x14ac:dyDescent="0.2">
      <c r="A293" s="117"/>
      <c r="B293" s="117"/>
      <c r="C293" s="117"/>
      <c r="D293" s="117"/>
      <c r="E293" s="117"/>
      <c r="F293" s="117"/>
      <c r="G293" s="117"/>
      <c r="H293" s="117"/>
      <c r="I293" s="117"/>
      <c r="J293" s="117"/>
      <c r="K293" s="117"/>
    </row>
    <row r="294" spans="1:11" ht="15.75" x14ac:dyDescent="0.2">
      <c r="A294" s="117"/>
      <c r="B294" s="117"/>
      <c r="C294" s="117"/>
      <c r="D294" s="117"/>
      <c r="E294" s="117"/>
      <c r="F294" s="117"/>
      <c r="G294" s="117"/>
      <c r="H294" s="117"/>
      <c r="I294" s="117"/>
      <c r="J294" s="117"/>
      <c r="K294" s="117"/>
    </row>
    <row r="295" spans="1:11" ht="15.75" x14ac:dyDescent="0.2">
      <c r="A295" s="117"/>
      <c r="B295" s="117"/>
      <c r="C295" s="117"/>
      <c r="D295" s="117"/>
      <c r="E295" s="117"/>
      <c r="F295" s="117"/>
      <c r="G295" s="117"/>
      <c r="H295" s="117"/>
      <c r="I295" s="117"/>
      <c r="J295" s="117"/>
      <c r="K295" s="117"/>
    </row>
    <row r="296" spans="1:11" ht="15.75" x14ac:dyDescent="0.2">
      <c r="A296" s="117"/>
      <c r="B296" s="117"/>
      <c r="C296" s="117"/>
      <c r="D296" s="117"/>
      <c r="E296" s="117"/>
      <c r="F296" s="117"/>
      <c r="G296" s="117"/>
      <c r="H296" s="117"/>
      <c r="I296" s="117"/>
      <c r="J296" s="117"/>
      <c r="K296" s="117"/>
    </row>
    <row r="297" spans="1:11" ht="15.75" x14ac:dyDescent="0.2">
      <c r="A297" s="117"/>
      <c r="B297" s="117"/>
      <c r="C297" s="117"/>
      <c r="D297" s="117"/>
      <c r="E297" s="117"/>
      <c r="F297" s="117"/>
      <c r="G297" s="117"/>
      <c r="H297" s="117"/>
      <c r="I297" s="117"/>
      <c r="J297" s="117"/>
      <c r="K297" s="117"/>
    </row>
    <row r="298" spans="1:11" ht="15.75" x14ac:dyDescent="0.2">
      <c r="A298" s="117"/>
      <c r="B298" s="117"/>
      <c r="C298" s="117"/>
      <c r="D298" s="117"/>
      <c r="E298" s="117"/>
      <c r="F298" s="117"/>
      <c r="G298" s="117"/>
      <c r="H298" s="117"/>
      <c r="I298" s="117"/>
      <c r="J298" s="117"/>
      <c r="K298" s="117"/>
    </row>
    <row r="299" spans="1:11" ht="15.75" x14ac:dyDescent="0.2">
      <c r="A299" s="117"/>
      <c r="B299" s="117"/>
      <c r="C299" s="117"/>
      <c r="D299" s="117"/>
      <c r="E299" s="117"/>
      <c r="F299" s="117"/>
      <c r="G299" s="117"/>
      <c r="H299" s="117"/>
      <c r="I299" s="117"/>
      <c r="J299" s="117"/>
      <c r="K299" s="117"/>
    </row>
    <row r="300" spans="1:11" ht="15.75" x14ac:dyDescent="0.2">
      <c r="A300" s="117"/>
      <c r="B300" s="117"/>
      <c r="C300" s="117"/>
      <c r="D300" s="117"/>
      <c r="E300" s="117"/>
      <c r="F300" s="117"/>
      <c r="G300" s="117"/>
      <c r="H300" s="117"/>
      <c r="I300" s="117"/>
      <c r="J300" s="117"/>
      <c r="K300" s="117"/>
    </row>
    <row r="301" spans="1:11" ht="15.75" x14ac:dyDescent="0.2">
      <c r="A301" s="117"/>
      <c r="B301" s="117"/>
      <c r="C301" s="117"/>
      <c r="D301" s="117"/>
      <c r="E301" s="117"/>
      <c r="F301" s="117"/>
      <c r="G301" s="117"/>
      <c r="H301" s="117"/>
      <c r="I301" s="117"/>
      <c r="J301" s="117"/>
      <c r="K301" s="117"/>
    </row>
    <row r="302" spans="1:11" ht="15.75" x14ac:dyDescent="0.2">
      <c r="A302" s="117"/>
      <c r="B302" s="117"/>
      <c r="C302" s="117"/>
      <c r="D302" s="117"/>
      <c r="E302" s="117"/>
      <c r="F302" s="117"/>
      <c r="G302" s="117"/>
      <c r="H302" s="117"/>
      <c r="I302" s="117"/>
      <c r="J302" s="117"/>
      <c r="K302" s="117"/>
    </row>
    <row r="303" spans="1:11" ht="15.75" x14ac:dyDescent="0.2">
      <c r="A303" s="117"/>
      <c r="B303" s="117"/>
      <c r="C303" s="117"/>
      <c r="D303" s="117"/>
      <c r="E303" s="117"/>
      <c r="F303" s="117"/>
      <c r="G303" s="117"/>
      <c r="H303" s="117"/>
      <c r="I303" s="117"/>
      <c r="J303" s="117"/>
      <c r="K303" s="117"/>
    </row>
    <row r="304" spans="1:11" ht="15.75" x14ac:dyDescent="0.2">
      <c r="A304" s="117"/>
      <c r="B304" s="117"/>
      <c r="C304" s="117"/>
      <c r="D304" s="117"/>
      <c r="E304" s="117"/>
      <c r="F304" s="117"/>
      <c r="G304" s="117"/>
      <c r="H304" s="117"/>
      <c r="I304" s="117"/>
      <c r="J304" s="117"/>
      <c r="K304" s="117"/>
    </row>
    <row r="305" spans="1:11" ht="15.75" x14ac:dyDescent="0.2">
      <c r="A305" s="117"/>
      <c r="B305" s="117"/>
      <c r="C305" s="117"/>
      <c r="D305" s="117"/>
      <c r="E305" s="117"/>
      <c r="F305" s="117"/>
      <c r="G305" s="117"/>
      <c r="H305" s="117"/>
      <c r="I305" s="117"/>
      <c r="J305" s="117"/>
      <c r="K305" s="117"/>
    </row>
    <row r="306" spans="1:11" ht="15.75" x14ac:dyDescent="0.2">
      <c r="A306" s="117"/>
      <c r="B306" s="117"/>
      <c r="C306" s="117"/>
      <c r="D306" s="117"/>
      <c r="E306" s="117"/>
      <c r="F306" s="117"/>
      <c r="G306" s="117"/>
      <c r="H306" s="117"/>
      <c r="I306" s="117"/>
      <c r="J306" s="117"/>
      <c r="K306" s="117"/>
    </row>
    <row r="307" spans="1:11" ht="15.75" x14ac:dyDescent="0.2">
      <c r="A307" s="117"/>
      <c r="B307" s="117"/>
      <c r="C307" s="117"/>
      <c r="D307" s="117"/>
      <c r="E307" s="117"/>
      <c r="F307" s="117"/>
      <c r="G307" s="117"/>
      <c r="H307" s="117"/>
      <c r="I307" s="117"/>
      <c r="J307" s="117"/>
      <c r="K307" s="117"/>
    </row>
    <row r="308" spans="1:11" ht="15.75" x14ac:dyDescent="0.2">
      <c r="A308" s="117"/>
      <c r="B308" s="117"/>
      <c r="C308" s="117"/>
      <c r="D308" s="117"/>
      <c r="E308" s="117"/>
      <c r="F308" s="117"/>
      <c r="G308" s="117"/>
      <c r="H308" s="117"/>
      <c r="I308" s="117"/>
      <c r="J308" s="117"/>
      <c r="K308" s="117"/>
    </row>
    <row r="309" spans="1:11" ht="15.75" x14ac:dyDescent="0.2">
      <c r="A309" s="117"/>
      <c r="B309" s="117"/>
      <c r="C309" s="117"/>
      <c r="D309" s="117"/>
      <c r="E309" s="117"/>
      <c r="F309" s="117"/>
      <c r="G309" s="117"/>
      <c r="H309" s="117"/>
      <c r="I309" s="117"/>
      <c r="J309" s="117"/>
      <c r="K309" s="117"/>
    </row>
    <row r="310" spans="1:11" ht="15.75" x14ac:dyDescent="0.2">
      <c r="A310" s="117"/>
      <c r="B310" s="117"/>
      <c r="C310" s="117"/>
      <c r="D310" s="117"/>
      <c r="E310" s="117"/>
      <c r="F310" s="117"/>
      <c r="G310" s="117"/>
      <c r="H310" s="117"/>
      <c r="I310" s="117"/>
      <c r="J310" s="117"/>
      <c r="K310" s="117"/>
    </row>
    <row r="311" spans="1:11" ht="15.75" x14ac:dyDescent="0.2">
      <c r="A311" s="117"/>
      <c r="B311" s="117"/>
      <c r="C311" s="117"/>
      <c r="D311" s="117"/>
      <c r="E311" s="117"/>
      <c r="F311" s="117"/>
      <c r="G311" s="117"/>
      <c r="H311" s="117"/>
      <c r="I311" s="117"/>
      <c r="J311" s="117"/>
      <c r="K311" s="117"/>
    </row>
    <row r="312" spans="1:11" ht="15.75" x14ac:dyDescent="0.2">
      <c r="A312" s="117"/>
      <c r="B312" s="117"/>
      <c r="C312" s="117"/>
      <c r="D312" s="117"/>
      <c r="E312" s="117"/>
      <c r="F312" s="117"/>
      <c r="G312" s="117"/>
      <c r="H312" s="117"/>
      <c r="I312" s="117"/>
      <c r="J312" s="117"/>
      <c r="K312" s="117"/>
    </row>
    <row r="313" spans="1:11" ht="15.75" x14ac:dyDescent="0.2">
      <c r="A313" s="117"/>
      <c r="B313" s="117"/>
      <c r="C313" s="117"/>
      <c r="D313" s="117"/>
      <c r="E313" s="117"/>
      <c r="F313" s="117"/>
      <c r="G313" s="117"/>
      <c r="H313" s="117"/>
      <c r="I313" s="117"/>
      <c r="J313" s="117"/>
      <c r="K313" s="117"/>
    </row>
    <row r="314" spans="1:11" ht="15.75" x14ac:dyDescent="0.2">
      <c r="A314" s="117"/>
      <c r="B314" s="117"/>
      <c r="C314" s="117"/>
      <c r="D314" s="117"/>
      <c r="E314" s="117"/>
      <c r="F314" s="117"/>
      <c r="G314" s="117"/>
      <c r="H314" s="117"/>
      <c r="I314" s="117"/>
      <c r="J314" s="117"/>
      <c r="K314" s="117"/>
    </row>
    <row r="315" spans="1:11" ht="15.75" x14ac:dyDescent="0.2">
      <c r="A315" s="117"/>
      <c r="B315" s="117"/>
      <c r="C315" s="117"/>
      <c r="D315" s="117"/>
      <c r="E315" s="117"/>
      <c r="F315" s="117"/>
      <c r="G315" s="117"/>
      <c r="H315" s="117"/>
      <c r="I315" s="117"/>
      <c r="J315" s="117"/>
      <c r="K315" s="117"/>
    </row>
    <row r="316" spans="1:11" ht="15.75" x14ac:dyDescent="0.2">
      <c r="A316" s="117"/>
      <c r="B316" s="117"/>
      <c r="C316" s="117"/>
      <c r="D316" s="117"/>
      <c r="E316" s="117"/>
      <c r="F316" s="117"/>
      <c r="G316" s="117"/>
      <c r="H316" s="117"/>
      <c r="I316" s="117"/>
      <c r="J316" s="117"/>
      <c r="K316" s="117"/>
    </row>
    <row r="317" spans="1:11" ht="15.75" x14ac:dyDescent="0.2">
      <c r="A317" s="117"/>
      <c r="B317" s="117"/>
      <c r="C317" s="117"/>
      <c r="D317" s="117"/>
      <c r="E317" s="117"/>
      <c r="F317" s="117"/>
      <c r="G317" s="117"/>
      <c r="H317" s="117"/>
      <c r="I317" s="117"/>
      <c r="J317" s="117"/>
      <c r="K317" s="117"/>
    </row>
    <row r="318" spans="1:11" ht="15.75" x14ac:dyDescent="0.2">
      <c r="A318" s="117"/>
      <c r="B318" s="117"/>
      <c r="C318" s="117"/>
      <c r="D318" s="117"/>
      <c r="E318" s="117"/>
      <c r="F318" s="117"/>
      <c r="G318" s="117"/>
      <c r="H318" s="117"/>
      <c r="I318" s="117"/>
      <c r="J318" s="117"/>
      <c r="K318" s="117"/>
    </row>
    <row r="319" spans="1:11" ht="15.75" x14ac:dyDescent="0.2">
      <c r="A319" s="117"/>
      <c r="B319" s="117"/>
      <c r="C319" s="117"/>
      <c r="D319" s="117"/>
      <c r="E319" s="117"/>
      <c r="F319" s="117"/>
      <c r="G319" s="117"/>
      <c r="H319" s="117"/>
      <c r="I319" s="117"/>
      <c r="J319" s="117"/>
      <c r="K319" s="117"/>
    </row>
    <row r="320" spans="1:11" ht="15.75" x14ac:dyDescent="0.2">
      <c r="A320" s="117"/>
      <c r="B320" s="117"/>
      <c r="C320" s="117"/>
      <c r="D320" s="117"/>
      <c r="E320" s="117"/>
      <c r="F320" s="117"/>
      <c r="G320" s="117"/>
      <c r="H320" s="117"/>
      <c r="I320" s="117"/>
      <c r="J320" s="117"/>
      <c r="K320" s="117"/>
    </row>
    <row r="321" spans="1:11" ht="15.75" x14ac:dyDescent="0.2">
      <c r="A321" s="117"/>
      <c r="B321" s="117"/>
      <c r="C321" s="117"/>
      <c r="D321" s="117"/>
      <c r="E321" s="117"/>
      <c r="F321" s="117"/>
      <c r="G321" s="117"/>
      <c r="H321" s="117"/>
      <c r="I321" s="117"/>
      <c r="J321" s="117"/>
      <c r="K321" s="117"/>
    </row>
    <row r="322" spans="1:11" ht="15.75" x14ac:dyDescent="0.2">
      <c r="A322" s="117"/>
      <c r="B322" s="117"/>
      <c r="C322" s="117"/>
      <c r="D322" s="117"/>
      <c r="E322" s="117"/>
      <c r="F322" s="117"/>
      <c r="G322" s="117"/>
      <c r="H322" s="117"/>
      <c r="I322" s="117"/>
      <c r="J322" s="117"/>
      <c r="K322" s="117"/>
    </row>
    <row r="323" spans="1:11" ht="15.75" x14ac:dyDescent="0.2">
      <c r="A323" s="117"/>
      <c r="B323" s="117"/>
      <c r="C323" s="117"/>
      <c r="D323" s="117"/>
      <c r="E323" s="117"/>
      <c r="F323" s="117"/>
      <c r="G323" s="117"/>
      <c r="H323" s="117"/>
      <c r="I323" s="117"/>
      <c r="J323" s="117"/>
      <c r="K323" s="117"/>
    </row>
    <row r="324" spans="1:11" ht="15.75" x14ac:dyDescent="0.2">
      <c r="A324" s="117"/>
      <c r="B324" s="117"/>
      <c r="C324" s="117"/>
      <c r="D324" s="117"/>
      <c r="E324" s="117"/>
      <c r="F324" s="117"/>
      <c r="G324" s="117"/>
      <c r="H324" s="117"/>
      <c r="I324" s="117"/>
      <c r="J324" s="117"/>
      <c r="K324" s="117"/>
    </row>
    <row r="325" spans="1:11" ht="15.75" x14ac:dyDescent="0.2">
      <c r="A325" s="117"/>
      <c r="B325" s="117"/>
      <c r="C325" s="117"/>
      <c r="D325" s="117"/>
      <c r="E325" s="117"/>
      <c r="F325" s="117"/>
      <c r="G325" s="117"/>
      <c r="H325" s="117"/>
      <c r="I325" s="117"/>
      <c r="J325" s="117"/>
      <c r="K325" s="117"/>
    </row>
    <row r="326" spans="1:11" ht="15.75" x14ac:dyDescent="0.2">
      <c r="A326" s="117"/>
      <c r="B326" s="117"/>
      <c r="C326" s="117"/>
      <c r="D326" s="117"/>
      <c r="E326" s="117"/>
      <c r="F326" s="117"/>
      <c r="G326" s="117"/>
      <c r="H326" s="117"/>
      <c r="I326" s="117"/>
      <c r="J326" s="117"/>
      <c r="K326" s="117"/>
    </row>
    <row r="327" spans="1:11" ht="15.75" x14ac:dyDescent="0.2">
      <c r="A327" s="117"/>
      <c r="B327" s="117"/>
      <c r="C327" s="117"/>
      <c r="D327" s="117"/>
      <c r="E327" s="117"/>
      <c r="F327" s="117"/>
      <c r="G327" s="117"/>
      <c r="H327" s="117"/>
      <c r="I327" s="117"/>
      <c r="J327" s="117"/>
      <c r="K327" s="117"/>
    </row>
    <row r="328" spans="1:11" ht="15.75" x14ac:dyDescent="0.2">
      <c r="A328" s="117"/>
      <c r="B328" s="117"/>
      <c r="C328" s="117"/>
      <c r="D328" s="117"/>
      <c r="E328" s="117"/>
      <c r="F328" s="117"/>
      <c r="G328" s="117"/>
      <c r="H328" s="117"/>
      <c r="I328" s="117"/>
      <c r="J328" s="117"/>
      <c r="K328" s="117"/>
    </row>
    <row r="329" spans="1:11" ht="15.75" x14ac:dyDescent="0.2">
      <c r="A329" s="117"/>
      <c r="B329" s="117"/>
      <c r="C329" s="117"/>
      <c r="D329" s="117"/>
      <c r="E329" s="117"/>
      <c r="F329" s="117"/>
      <c r="G329" s="117"/>
      <c r="H329" s="117"/>
      <c r="I329" s="117"/>
      <c r="J329" s="117"/>
      <c r="K329" s="117"/>
    </row>
    <row r="330" spans="1:11" ht="15.75" x14ac:dyDescent="0.2">
      <c r="A330" s="117"/>
      <c r="B330" s="117"/>
      <c r="C330" s="117"/>
      <c r="D330" s="117"/>
      <c r="E330" s="117"/>
      <c r="F330" s="117"/>
      <c r="G330" s="117"/>
      <c r="H330" s="117"/>
      <c r="I330" s="117"/>
      <c r="J330" s="117"/>
      <c r="K330" s="117"/>
    </row>
    <row r="331" spans="1:11" ht="15.75" x14ac:dyDescent="0.2">
      <c r="A331" s="117"/>
      <c r="B331" s="117"/>
      <c r="C331" s="117"/>
      <c r="D331" s="117"/>
      <c r="E331" s="117"/>
      <c r="F331" s="117"/>
      <c r="G331" s="117"/>
      <c r="H331" s="117"/>
      <c r="I331" s="117"/>
      <c r="J331" s="117"/>
      <c r="K331" s="117"/>
    </row>
    <row r="332" spans="1:11" ht="15.75" x14ac:dyDescent="0.2">
      <c r="A332" s="117"/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</row>
    <row r="333" spans="1:11" ht="15.75" x14ac:dyDescent="0.2">
      <c r="A333" s="117"/>
      <c r="B333" s="117"/>
      <c r="C333" s="117"/>
      <c r="D333" s="117"/>
      <c r="E333" s="117"/>
      <c r="F333" s="117"/>
      <c r="G333" s="117"/>
      <c r="H333" s="117"/>
      <c r="I333" s="117"/>
      <c r="J333" s="117"/>
      <c r="K333" s="117"/>
    </row>
    <row r="334" spans="1:11" ht="15.75" x14ac:dyDescent="0.2">
      <c r="A334" s="117"/>
      <c r="B334" s="117"/>
      <c r="C334" s="117"/>
      <c r="D334" s="117"/>
      <c r="E334" s="117"/>
      <c r="F334" s="117"/>
      <c r="G334" s="117"/>
      <c r="H334" s="117"/>
      <c r="I334" s="117"/>
      <c r="J334" s="117"/>
      <c r="K334" s="117"/>
    </row>
    <row r="335" spans="1:11" ht="15.75" x14ac:dyDescent="0.2">
      <c r="A335" s="117"/>
      <c r="B335" s="117"/>
      <c r="C335" s="117"/>
      <c r="D335" s="117"/>
      <c r="E335" s="117"/>
      <c r="F335" s="117"/>
      <c r="G335" s="117"/>
      <c r="H335" s="117"/>
      <c r="I335" s="117"/>
      <c r="J335" s="117"/>
      <c r="K335" s="117"/>
    </row>
    <row r="336" spans="1:11" ht="15.75" x14ac:dyDescent="0.2">
      <c r="A336" s="117"/>
      <c r="B336" s="117"/>
      <c r="C336" s="117"/>
      <c r="D336" s="117"/>
      <c r="E336" s="117"/>
      <c r="F336" s="117"/>
      <c r="G336" s="117"/>
      <c r="H336" s="117"/>
      <c r="I336" s="117"/>
      <c r="J336" s="117"/>
      <c r="K336" s="117"/>
    </row>
    <row r="337" spans="1:11" ht="15.75" x14ac:dyDescent="0.2">
      <c r="A337" s="117"/>
      <c r="B337" s="117"/>
      <c r="C337" s="117"/>
      <c r="D337" s="117"/>
      <c r="E337" s="117"/>
      <c r="F337" s="117"/>
      <c r="G337" s="117"/>
      <c r="H337" s="117"/>
      <c r="I337" s="117"/>
      <c r="J337" s="117"/>
      <c r="K337" s="117"/>
    </row>
    <row r="338" spans="1:11" ht="15.75" x14ac:dyDescent="0.2">
      <c r="A338" s="117"/>
      <c r="B338" s="117"/>
      <c r="C338" s="117"/>
      <c r="D338" s="117"/>
      <c r="E338" s="117"/>
      <c r="F338" s="117"/>
      <c r="G338" s="117"/>
      <c r="H338" s="117"/>
      <c r="I338" s="117"/>
      <c r="J338" s="117"/>
      <c r="K338" s="117"/>
    </row>
    <row r="339" spans="1:11" ht="15.75" x14ac:dyDescent="0.2">
      <c r="A339" s="117"/>
      <c r="B339" s="117"/>
      <c r="C339" s="117"/>
      <c r="D339" s="117"/>
      <c r="E339" s="117"/>
      <c r="F339" s="117"/>
      <c r="G339" s="117"/>
      <c r="H339" s="117"/>
      <c r="I339" s="117"/>
      <c r="J339" s="117"/>
      <c r="K339" s="117"/>
    </row>
    <row r="340" spans="1:11" ht="15.75" x14ac:dyDescent="0.2">
      <c r="A340" s="117"/>
      <c r="B340" s="117"/>
      <c r="C340" s="117"/>
      <c r="D340" s="117"/>
      <c r="E340" s="117"/>
      <c r="F340" s="117"/>
      <c r="G340" s="117"/>
      <c r="H340" s="117"/>
      <c r="I340" s="117"/>
      <c r="J340" s="117"/>
      <c r="K340" s="117"/>
    </row>
    <row r="341" spans="1:11" ht="15.75" x14ac:dyDescent="0.2">
      <c r="A341" s="117"/>
      <c r="B341" s="117"/>
      <c r="C341" s="117"/>
      <c r="D341" s="117"/>
      <c r="E341" s="117"/>
      <c r="F341" s="117"/>
      <c r="G341" s="117"/>
      <c r="H341" s="117"/>
      <c r="I341" s="117"/>
      <c r="J341" s="117"/>
      <c r="K341" s="117"/>
    </row>
    <row r="342" spans="1:11" ht="15.75" x14ac:dyDescent="0.2">
      <c r="A342" s="117"/>
      <c r="B342" s="117"/>
      <c r="C342" s="117"/>
      <c r="D342" s="117"/>
      <c r="E342" s="117"/>
      <c r="F342" s="117"/>
      <c r="G342" s="117"/>
      <c r="H342" s="117"/>
      <c r="I342" s="117"/>
      <c r="J342" s="117"/>
      <c r="K342" s="117"/>
    </row>
    <row r="343" spans="1:11" ht="15.75" x14ac:dyDescent="0.2">
      <c r="A343" s="117"/>
      <c r="B343" s="117"/>
      <c r="C343" s="117"/>
      <c r="D343" s="117"/>
      <c r="E343" s="117"/>
      <c r="F343" s="117"/>
      <c r="G343" s="117"/>
      <c r="H343" s="117"/>
      <c r="I343" s="117"/>
      <c r="J343" s="117"/>
      <c r="K343" s="117"/>
    </row>
    <row r="344" spans="1:11" ht="15.75" x14ac:dyDescent="0.2">
      <c r="A344" s="117"/>
      <c r="B344" s="117"/>
      <c r="C344" s="117"/>
      <c r="D344" s="117"/>
      <c r="E344" s="117"/>
      <c r="F344" s="117"/>
      <c r="G344" s="117"/>
      <c r="H344" s="117"/>
      <c r="I344" s="117"/>
      <c r="J344" s="117"/>
      <c r="K344" s="117"/>
    </row>
    <row r="345" spans="1:11" ht="15.75" x14ac:dyDescent="0.2">
      <c r="A345" s="117"/>
      <c r="B345" s="117"/>
      <c r="C345" s="117"/>
      <c r="D345" s="117"/>
      <c r="E345" s="117"/>
      <c r="F345" s="117"/>
      <c r="G345" s="117"/>
      <c r="H345" s="117"/>
      <c r="I345" s="117"/>
      <c r="J345" s="117"/>
      <c r="K345" s="117"/>
    </row>
    <row r="346" spans="1:11" ht="15.75" x14ac:dyDescent="0.2">
      <c r="A346" s="117"/>
      <c r="B346" s="117"/>
      <c r="C346" s="117"/>
      <c r="D346" s="117"/>
      <c r="E346" s="117"/>
      <c r="F346" s="117"/>
      <c r="G346" s="117"/>
      <c r="H346" s="117"/>
      <c r="I346" s="117"/>
      <c r="J346" s="117"/>
      <c r="K346" s="117"/>
    </row>
    <row r="347" spans="1:11" ht="15.75" x14ac:dyDescent="0.2">
      <c r="A347" s="117"/>
      <c r="B347" s="117"/>
      <c r="C347" s="117"/>
      <c r="D347" s="117"/>
      <c r="E347" s="117"/>
      <c r="F347" s="117"/>
      <c r="G347" s="117"/>
      <c r="H347" s="117"/>
      <c r="I347" s="117"/>
      <c r="J347" s="117"/>
      <c r="K347" s="117"/>
    </row>
    <row r="348" spans="1:11" ht="15.75" x14ac:dyDescent="0.2">
      <c r="A348" s="117"/>
      <c r="B348" s="117"/>
      <c r="C348" s="117"/>
      <c r="D348" s="117"/>
      <c r="E348" s="117"/>
      <c r="F348" s="117"/>
      <c r="G348" s="117"/>
      <c r="H348" s="117"/>
      <c r="I348" s="117"/>
      <c r="J348" s="117"/>
      <c r="K348" s="117"/>
    </row>
    <row r="349" spans="1:11" ht="15.75" x14ac:dyDescent="0.2">
      <c r="A349" s="117"/>
      <c r="B349" s="117"/>
      <c r="C349" s="117"/>
      <c r="D349" s="117"/>
      <c r="E349" s="117"/>
      <c r="F349" s="117"/>
      <c r="G349" s="117"/>
      <c r="H349" s="117"/>
      <c r="I349" s="117"/>
      <c r="J349" s="117"/>
      <c r="K349" s="117"/>
    </row>
    <row r="350" spans="1:11" ht="15.75" x14ac:dyDescent="0.2">
      <c r="A350" s="117"/>
      <c r="B350" s="117"/>
      <c r="C350" s="117"/>
      <c r="D350" s="117"/>
      <c r="E350" s="117"/>
      <c r="F350" s="117"/>
      <c r="G350" s="117"/>
      <c r="H350" s="117"/>
      <c r="I350" s="117"/>
      <c r="J350" s="117"/>
      <c r="K350" s="117"/>
    </row>
    <row r="351" spans="1:11" ht="15.75" x14ac:dyDescent="0.2">
      <c r="A351" s="117"/>
      <c r="B351" s="117"/>
      <c r="C351" s="117"/>
      <c r="D351" s="117"/>
      <c r="E351" s="117"/>
      <c r="F351" s="117"/>
      <c r="G351" s="117"/>
      <c r="H351" s="117"/>
      <c r="I351" s="117"/>
      <c r="J351" s="117"/>
      <c r="K351" s="117"/>
    </row>
    <row r="352" spans="1:11" ht="15.75" x14ac:dyDescent="0.2">
      <c r="A352" s="117"/>
      <c r="B352" s="117"/>
      <c r="C352" s="117"/>
      <c r="D352" s="117"/>
      <c r="E352" s="117"/>
      <c r="F352" s="117"/>
      <c r="G352" s="117"/>
      <c r="H352" s="117"/>
      <c r="I352" s="117"/>
      <c r="J352" s="117"/>
      <c r="K352" s="117"/>
    </row>
    <row r="353" spans="1:11" ht="15.75" x14ac:dyDescent="0.2">
      <c r="A353" s="117"/>
      <c r="B353" s="117"/>
      <c r="C353" s="117"/>
      <c r="D353" s="117"/>
      <c r="E353" s="117"/>
      <c r="F353" s="117"/>
      <c r="G353" s="117"/>
      <c r="H353" s="117"/>
      <c r="I353" s="117"/>
      <c r="J353" s="117"/>
      <c r="K353" s="117"/>
    </row>
    <row r="354" spans="1:11" ht="15.75" x14ac:dyDescent="0.2">
      <c r="A354" s="117"/>
      <c r="B354" s="117"/>
      <c r="C354" s="117"/>
      <c r="D354" s="117"/>
      <c r="E354" s="117"/>
      <c r="F354" s="117"/>
      <c r="G354" s="117"/>
      <c r="H354" s="117"/>
      <c r="I354" s="117"/>
      <c r="J354" s="117"/>
      <c r="K354" s="117"/>
    </row>
    <row r="355" spans="1:11" ht="15.75" x14ac:dyDescent="0.2">
      <c r="A355" s="117"/>
      <c r="B355" s="117"/>
      <c r="C355" s="117"/>
      <c r="D355" s="117"/>
      <c r="E355" s="117"/>
      <c r="F355" s="117"/>
      <c r="G355" s="117"/>
      <c r="H355" s="117"/>
      <c r="I355" s="117"/>
      <c r="J355" s="117"/>
      <c r="K355" s="117"/>
    </row>
    <row r="356" spans="1:11" ht="15.75" x14ac:dyDescent="0.2">
      <c r="A356" s="117"/>
      <c r="B356" s="117"/>
      <c r="C356" s="117"/>
      <c r="D356" s="117"/>
      <c r="E356" s="117"/>
      <c r="F356" s="117"/>
      <c r="G356" s="117"/>
      <c r="H356" s="117"/>
      <c r="I356" s="117"/>
      <c r="J356" s="117"/>
      <c r="K356" s="117"/>
    </row>
    <row r="357" spans="1:11" ht="15.75" x14ac:dyDescent="0.2">
      <c r="A357" s="117"/>
      <c r="B357" s="117"/>
      <c r="C357" s="117"/>
      <c r="D357" s="117"/>
      <c r="E357" s="117"/>
      <c r="F357" s="117"/>
      <c r="G357" s="117"/>
      <c r="H357" s="117"/>
      <c r="I357" s="117"/>
      <c r="J357" s="117"/>
      <c r="K357" s="117"/>
    </row>
    <row r="358" spans="1:11" ht="15.75" x14ac:dyDescent="0.2">
      <c r="A358" s="117"/>
      <c r="B358" s="117"/>
      <c r="C358" s="117"/>
      <c r="D358" s="117"/>
      <c r="E358" s="117"/>
      <c r="F358" s="117"/>
      <c r="G358" s="117"/>
      <c r="H358" s="117"/>
      <c r="I358" s="117"/>
      <c r="J358" s="117"/>
      <c r="K358" s="117"/>
    </row>
    <row r="359" spans="1:11" ht="15.75" x14ac:dyDescent="0.2">
      <c r="A359" s="117"/>
      <c r="B359" s="117"/>
      <c r="C359" s="117"/>
      <c r="D359" s="117"/>
      <c r="E359" s="117"/>
      <c r="F359" s="117"/>
      <c r="G359" s="117"/>
      <c r="H359" s="117"/>
      <c r="I359" s="117"/>
      <c r="J359" s="117"/>
      <c r="K359" s="117"/>
    </row>
    <row r="360" spans="1:11" ht="15.75" x14ac:dyDescent="0.2">
      <c r="A360" s="117"/>
      <c r="B360" s="117"/>
      <c r="C360" s="117"/>
      <c r="D360" s="117"/>
      <c r="E360" s="117"/>
      <c r="F360" s="117"/>
      <c r="G360" s="117"/>
      <c r="H360" s="117"/>
      <c r="I360" s="117"/>
      <c r="J360" s="117"/>
      <c r="K360" s="117"/>
    </row>
    <row r="361" spans="1:11" ht="15.75" x14ac:dyDescent="0.2">
      <c r="A361" s="117"/>
      <c r="B361" s="117"/>
      <c r="C361" s="117"/>
      <c r="D361" s="117"/>
      <c r="E361" s="117"/>
      <c r="F361" s="117"/>
      <c r="G361" s="117"/>
      <c r="H361" s="117"/>
      <c r="I361" s="117"/>
      <c r="J361" s="117"/>
      <c r="K361" s="117"/>
    </row>
    <row r="362" spans="1:11" ht="15.75" x14ac:dyDescent="0.2">
      <c r="A362" s="117"/>
      <c r="B362" s="117"/>
      <c r="C362" s="117"/>
      <c r="D362" s="117"/>
      <c r="E362" s="117"/>
      <c r="F362" s="117"/>
      <c r="G362" s="117"/>
      <c r="H362" s="117"/>
      <c r="I362" s="117"/>
      <c r="J362" s="117"/>
      <c r="K362" s="117"/>
    </row>
    <row r="363" spans="1:11" ht="15.75" x14ac:dyDescent="0.2">
      <c r="A363" s="117"/>
      <c r="B363" s="117"/>
      <c r="C363" s="117"/>
      <c r="D363" s="117"/>
      <c r="E363" s="117"/>
      <c r="F363" s="117"/>
      <c r="G363" s="117"/>
      <c r="H363" s="117"/>
      <c r="I363" s="117"/>
      <c r="J363" s="117"/>
      <c r="K363" s="117"/>
    </row>
    <row r="364" spans="1:11" ht="15.75" x14ac:dyDescent="0.2">
      <c r="A364" s="117"/>
      <c r="B364" s="117"/>
      <c r="C364" s="117"/>
      <c r="D364" s="117"/>
      <c r="E364" s="117"/>
      <c r="F364" s="117"/>
      <c r="G364" s="117"/>
      <c r="H364" s="117"/>
      <c r="I364" s="117"/>
      <c r="J364" s="117"/>
      <c r="K364" s="117"/>
    </row>
    <row r="365" spans="1:11" ht="15.75" x14ac:dyDescent="0.2">
      <c r="A365" s="117"/>
      <c r="B365" s="117"/>
      <c r="C365" s="117"/>
      <c r="D365" s="117"/>
      <c r="E365" s="117"/>
      <c r="F365" s="117"/>
      <c r="G365" s="117"/>
      <c r="H365" s="117"/>
      <c r="I365" s="117"/>
      <c r="J365" s="117"/>
      <c r="K365" s="117"/>
    </row>
    <row r="366" spans="1:11" ht="15.75" x14ac:dyDescent="0.2">
      <c r="A366" s="117"/>
      <c r="B366" s="117"/>
      <c r="C366" s="117"/>
      <c r="D366" s="117"/>
      <c r="E366" s="117"/>
      <c r="F366" s="117"/>
      <c r="G366" s="117"/>
      <c r="H366" s="117"/>
      <c r="I366" s="117"/>
      <c r="J366" s="117"/>
      <c r="K366" s="117"/>
    </row>
    <row r="367" spans="1:11" ht="15.75" x14ac:dyDescent="0.2">
      <c r="A367" s="117"/>
      <c r="B367" s="117"/>
      <c r="C367" s="117"/>
      <c r="D367" s="117"/>
      <c r="E367" s="117"/>
      <c r="F367" s="117"/>
      <c r="G367" s="117"/>
      <c r="H367" s="117"/>
      <c r="I367" s="117"/>
      <c r="J367" s="117"/>
      <c r="K367" s="117"/>
    </row>
    <row r="368" spans="1:11" ht="15.75" x14ac:dyDescent="0.2">
      <c r="A368" s="117"/>
      <c r="B368" s="117"/>
      <c r="C368" s="117"/>
      <c r="D368" s="117"/>
      <c r="E368" s="117"/>
      <c r="F368" s="117"/>
      <c r="G368" s="117"/>
      <c r="H368" s="117"/>
      <c r="I368" s="117"/>
      <c r="J368" s="117"/>
      <c r="K368" s="117"/>
    </row>
    <row r="369" spans="1:11" ht="15.75" x14ac:dyDescent="0.2">
      <c r="A369" s="117"/>
      <c r="B369" s="117"/>
      <c r="C369" s="117"/>
      <c r="D369" s="117"/>
      <c r="E369" s="117"/>
      <c r="F369" s="117"/>
      <c r="G369" s="117"/>
      <c r="H369" s="117"/>
      <c r="I369" s="117"/>
      <c r="J369" s="117"/>
      <c r="K369" s="117"/>
    </row>
    <row r="370" spans="1:11" ht="15.75" x14ac:dyDescent="0.2">
      <c r="A370" s="117"/>
      <c r="B370" s="117"/>
      <c r="C370" s="117"/>
      <c r="D370" s="117"/>
      <c r="E370" s="117"/>
      <c r="F370" s="117"/>
      <c r="G370" s="117"/>
      <c r="H370" s="117"/>
      <c r="I370" s="117"/>
      <c r="J370" s="117"/>
      <c r="K370" s="117"/>
    </row>
    <row r="371" spans="1:11" ht="15.75" x14ac:dyDescent="0.2">
      <c r="A371" s="117"/>
      <c r="B371" s="117"/>
      <c r="C371" s="117"/>
      <c r="D371" s="117"/>
      <c r="E371" s="117"/>
      <c r="F371" s="117"/>
      <c r="G371" s="117"/>
      <c r="H371" s="117"/>
      <c r="I371" s="117"/>
      <c r="J371" s="117"/>
      <c r="K371" s="117"/>
    </row>
    <row r="372" spans="1:11" ht="15.75" x14ac:dyDescent="0.2">
      <c r="A372" s="117"/>
      <c r="B372" s="117"/>
      <c r="C372" s="117"/>
      <c r="D372" s="117"/>
      <c r="E372" s="117"/>
      <c r="F372" s="117"/>
      <c r="G372" s="117"/>
      <c r="H372" s="117"/>
      <c r="I372" s="117"/>
      <c r="J372" s="117"/>
      <c r="K372" s="117"/>
    </row>
    <row r="373" spans="1:11" ht="15.75" x14ac:dyDescent="0.2">
      <c r="A373" s="117"/>
      <c r="B373" s="117"/>
      <c r="C373" s="117"/>
      <c r="D373" s="117"/>
      <c r="E373" s="117"/>
      <c r="F373" s="117"/>
      <c r="G373" s="117"/>
      <c r="H373" s="117"/>
      <c r="I373" s="117"/>
      <c r="J373" s="117"/>
      <c r="K373" s="117"/>
    </row>
    <row r="374" spans="1:11" ht="15.75" x14ac:dyDescent="0.2">
      <c r="A374" s="117"/>
      <c r="B374" s="117"/>
      <c r="C374" s="117"/>
      <c r="D374" s="117"/>
      <c r="E374" s="117"/>
      <c r="F374" s="117"/>
      <c r="G374" s="117"/>
      <c r="H374" s="117"/>
      <c r="I374" s="117"/>
      <c r="J374" s="117"/>
      <c r="K374" s="117"/>
    </row>
    <row r="375" spans="1:11" ht="15.75" x14ac:dyDescent="0.2">
      <c r="A375" s="117"/>
      <c r="B375" s="117"/>
      <c r="C375" s="117"/>
      <c r="D375" s="117"/>
      <c r="E375" s="117"/>
      <c r="F375" s="117"/>
      <c r="G375" s="117"/>
      <c r="H375" s="117"/>
      <c r="I375" s="117"/>
      <c r="J375" s="117"/>
      <c r="K375" s="117"/>
    </row>
    <row r="376" spans="1:11" ht="15.75" x14ac:dyDescent="0.2">
      <c r="A376" s="117"/>
      <c r="B376" s="117"/>
      <c r="C376" s="117"/>
      <c r="D376" s="117"/>
      <c r="E376" s="117"/>
      <c r="F376" s="117"/>
      <c r="G376" s="117"/>
      <c r="H376" s="117"/>
      <c r="I376" s="117"/>
      <c r="J376" s="117"/>
      <c r="K376" s="117"/>
    </row>
    <row r="377" spans="1:11" ht="15.75" x14ac:dyDescent="0.2">
      <c r="A377" s="117"/>
      <c r="B377" s="117"/>
      <c r="C377" s="117"/>
      <c r="D377" s="117"/>
      <c r="E377" s="117"/>
      <c r="F377" s="117"/>
      <c r="G377" s="117"/>
      <c r="H377" s="117"/>
      <c r="I377" s="117"/>
      <c r="J377" s="117"/>
      <c r="K377" s="117"/>
    </row>
    <row r="378" spans="1:11" ht="15.75" x14ac:dyDescent="0.2">
      <c r="A378" s="117"/>
      <c r="B378" s="117"/>
      <c r="C378" s="117"/>
      <c r="D378" s="117"/>
      <c r="E378" s="117"/>
      <c r="F378" s="117"/>
      <c r="G378" s="117"/>
      <c r="H378" s="117"/>
      <c r="I378" s="117"/>
      <c r="J378" s="117"/>
      <c r="K378" s="117"/>
    </row>
    <row r="379" spans="1:11" ht="15.75" x14ac:dyDescent="0.2">
      <c r="A379" s="117"/>
      <c r="B379" s="117"/>
      <c r="C379" s="117"/>
      <c r="D379" s="117"/>
      <c r="E379" s="117"/>
      <c r="F379" s="117"/>
      <c r="G379" s="117"/>
      <c r="H379" s="117"/>
      <c r="I379" s="117"/>
      <c r="J379" s="117"/>
      <c r="K379" s="117"/>
    </row>
    <row r="380" spans="1:11" ht="15.75" x14ac:dyDescent="0.2">
      <c r="A380" s="117"/>
      <c r="B380" s="117"/>
      <c r="C380" s="117"/>
      <c r="D380" s="117"/>
      <c r="E380" s="117"/>
      <c r="F380" s="117"/>
      <c r="G380" s="117"/>
      <c r="H380" s="117"/>
      <c r="I380" s="117"/>
      <c r="J380" s="117"/>
      <c r="K380" s="117"/>
    </row>
    <row r="381" spans="1:11" ht="15.75" x14ac:dyDescent="0.2">
      <c r="A381" s="117"/>
      <c r="B381" s="117"/>
      <c r="C381" s="117"/>
      <c r="D381" s="117"/>
      <c r="E381" s="117"/>
      <c r="F381" s="117"/>
      <c r="G381" s="117"/>
      <c r="H381" s="117"/>
      <c r="I381" s="117"/>
      <c r="J381" s="117"/>
      <c r="K381" s="117"/>
    </row>
    <row r="382" spans="1:11" ht="15.75" x14ac:dyDescent="0.2">
      <c r="A382" s="117"/>
      <c r="B382" s="117"/>
      <c r="C382" s="117"/>
      <c r="D382" s="117"/>
      <c r="E382" s="117"/>
      <c r="F382" s="117"/>
      <c r="G382" s="117"/>
      <c r="H382" s="117"/>
      <c r="I382" s="117"/>
      <c r="J382" s="117"/>
      <c r="K382" s="117"/>
    </row>
    <row r="383" spans="1:11" ht="15.75" x14ac:dyDescent="0.2">
      <c r="A383" s="117"/>
      <c r="B383" s="117"/>
      <c r="C383" s="117"/>
      <c r="D383" s="117"/>
      <c r="E383" s="117"/>
      <c r="F383" s="117"/>
      <c r="G383" s="117"/>
      <c r="H383" s="117"/>
      <c r="I383" s="117"/>
      <c r="J383" s="117"/>
      <c r="K383" s="117"/>
    </row>
    <row r="384" spans="1:11" ht="15.75" x14ac:dyDescent="0.2">
      <c r="A384" s="117"/>
      <c r="B384" s="117"/>
      <c r="C384" s="117"/>
      <c r="D384" s="117"/>
      <c r="E384" s="117"/>
      <c r="F384" s="117"/>
      <c r="G384" s="117"/>
      <c r="H384" s="117"/>
      <c r="I384" s="117"/>
      <c r="J384" s="117"/>
      <c r="K384" s="117"/>
    </row>
    <row r="385" spans="1:11" ht="15.75" x14ac:dyDescent="0.2">
      <c r="A385" s="117"/>
      <c r="B385" s="117"/>
      <c r="C385" s="117"/>
      <c r="D385" s="117"/>
      <c r="E385" s="117"/>
      <c r="F385" s="117"/>
      <c r="G385" s="117"/>
      <c r="H385" s="117"/>
      <c r="I385" s="117"/>
      <c r="J385" s="117"/>
      <c r="K385" s="117"/>
    </row>
    <row r="386" spans="1:11" ht="15.75" x14ac:dyDescent="0.2">
      <c r="A386" s="117"/>
      <c r="B386" s="117"/>
      <c r="C386" s="117"/>
      <c r="D386" s="117"/>
      <c r="E386" s="117"/>
      <c r="F386" s="117"/>
      <c r="G386" s="117"/>
      <c r="H386" s="117"/>
      <c r="I386" s="117"/>
      <c r="J386" s="117"/>
      <c r="K386" s="117"/>
    </row>
    <row r="387" spans="1:11" ht="15.75" x14ac:dyDescent="0.2">
      <c r="A387" s="117"/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</row>
    <row r="388" spans="1:11" ht="15.75" x14ac:dyDescent="0.2">
      <c r="A388" s="117"/>
      <c r="B388" s="117"/>
      <c r="C388" s="117"/>
      <c r="D388" s="117"/>
      <c r="E388" s="117"/>
      <c r="F388" s="117"/>
      <c r="G388" s="117"/>
      <c r="H388" s="117"/>
      <c r="I388" s="117"/>
      <c r="J388" s="117"/>
      <c r="K388" s="117"/>
    </row>
    <row r="389" spans="1:11" ht="15.75" x14ac:dyDescent="0.2">
      <c r="A389" s="117"/>
      <c r="B389" s="117"/>
      <c r="C389" s="117"/>
      <c r="D389" s="117"/>
      <c r="E389" s="117"/>
      <c r="F389" s="117"/>
      <c r="G389" s="117"/>
      <c r="H389" s="117"/>
      <c r="I389" s="117"/>
      <c r="J389" s="117"/>
      <c r="K389" s="117"/>
    </row>
    <row r="390" spans="1:11" ht="15.75" x14ac:dyDescent="0.2">
      <c r="A390" s="117"/>
      <c r="B390" s="117"/>
      <c r="C390" s="117"/>
      <c r="D390" s="117"/>
      <c r="E390" s="117"/>
      <c r="F390" s="117"/>
      <c r="G390" s="117"/>
      <c r="H390" s="117"/>
      <c r="I390" s="117"/>
      <c r="J390" s="117"/>
      <c r="K390" s="117"/>
    </row>
    <row r="391" spans="1:11" ht="15.75" x14ac:dyDescent="0.2">
      <c r="A391" s="117"/>
      <c r="B391" s="117"/>
      <c r="C391" s="117"/>
      <c r="D391" s="117"/>
      <c r="E391" s="117"/>
      <c r="F391" s="117"/>
      <c r="G391" s="117"/>
      <c r="H391" s="117"/>
      <c r="I391" s="117"/>
      <c r="J391" s="117"/>
      <c r="K391" s="117"/>
    </row>
    <row r="392" spans="1:11" ht="15.75" x14ac:dyDescent="0.2">
      <c r="A392" s="117"/>
      <c r="B392" s="117"/>
      <c r="C392" s="117"/>
      <c r="D392" s="117"/>
      <c r="E392" s="117"/>
      <c r="F392" s="117"/>
      <c r="G392" s="117"/>
      <c r="H392" s="117"/>
      <c r="I392" s="117"/>
      <c r="J392" s="117"/>
      <c r="K392" s="117"/>
    </row>
    <row r="393" spans="1:11" ht="15.75" x14ac:dyDescent="0.2">
      <c r="A393" s="117"/>
      <c r="B393" s="117"/>
      <c r="C393" s="117"/>
      <c r="D393" s="117"/>
      <c r="E393" s="117"/>
      <c r="F393" s="117"/>
      <c r="G393" s="117"/>
      <c r="H393" s="117"/>
      <c r="I393" s="117"/>
      <c r="J393" s="117"/>
      <c r="K393" s="117"/>
    </row>
    <row r="394" spans="1:11" ht="15.75" x14ac:dyDescent="0.2">
      <c r="A394" s="117"/>
      <c r="B394" s="117"/>
      <c r="C394" s="117"/>
      <c r="D394" s="117"/>
      <c r="E394" s="117"/>
      <c r="F394" s="117"/>
      <c r="G394" s="117"/>
      <c r="H394" s="117"/>
      <c r="I394" s="117"/>
      <c r="J394" s="117"/>
      <c r="K394" s="117"/>
    </row>
    <row r="395" spans="1:11" ht="15.75" x14ac:dyDescent="0.2">
      <c r="A395" s="117"/>
      <c r="B395" s="117"/>
      <c r="C395" s="117"/>
      <c r="D395" s="117"/>
      <c r="E395" s="117"/>
      <c r="F395" s="117"/>
      <c r="G395" s="117"/>
      <c r="H395" s="117"/>
      <c r="I395" s="117"/>
      <c r="J395" s="117"/>
      <c r="K395" s="117"/>
    </row>
    <row r="396" spans="1:11" ht="15.75" x14ac:dyDescent="0.2">
      <c r="A396" s="117"/>
      <c r="B396" s="117"/>
      <c r="C396" s="117"/>
      <c r="D396" s="117"/>
      <c r="E396" s="117"/>
      <c r="F396" s="117"/>
      <c r="G396" s="117"/>
      <c r="H396" s="117"/>
      <c r="I396" s="117"/>
      <c r="J396" s="117"/>
      <c r="K396" s="117"/>
    </row>
    <row r="397" spans="1:11" ht="15.75" x14ac:dyDescent="0.2">
      <c r="A397" s="117"/>
      <c r="B397" s="117"/>
      <c r="C397" s="117"/>
      <c r="D397" s="117"/>
      <c r="E397" s="117"/>
      <c r="F397" s="117"/>
      <c r="G397" s="117"/>
      <c r="H397" s="117"/>
      <c r="I397" s="117"/>
      <c r="J397" s="117"/>
      <c r="K397" s="117"/>
    </row>
    <row r="398" spans="1:11" ht="15.75" x14ac:dyDescent="0.2">
      <c r="A398" s="117"/>
      <c r="B398" s="117"/>
      <c r="C398" s="117"/>
      <c r="D398" s="117"/>
      <c r="E398" s="117"/>
      <c r="F398" s="117"/>
      <c r="G398" s="117"/>
      <c r="H398" s="117"/>
      <c r="I398" s="117"/>
      <c r="J398" s="117"/>
      <c r="K398" s="117"/>
    </row>
    <row r="399" spans="1:11" ht="15.75" x14ac:dyDescent="0.2">
      <c r="A399" s="117"/>
      <c r="B399" s="117"/>
      <c r="C399" s="117"/>
      <c r="D399" s="117"/>
      <c r="E399" s="117"/>
      <c r="F399" s="117"/>
      <c r="G399" s="117"/>
      <c r="H399" s="117"/>
      <c r="I399" s="117"/>
      <c r="J399" s="117"/>
      <c r="K399" s="117"/>
    </row>
    <row r="400" spans="1:11" ht="15.75" x14ac:dyDescent="0.2">
      <c r="A400" s="117"/>
      <c r="B400" s="117"/>
      <c r="C400" s="117"/>
      <c r="D400" s="117"/>
      <c r="E400" s="117"/>
      <c r="F400" s="117"/>
      <c r="G400" s="117"/>
      <c r="H400" s="117"/>
      <c r="I400" s="117"/>
      <c r="J400" s="117"/>
      <c r="K400" s="117"/>
    </row>
    <row r="401" spans="1:11" ht="15.75" x14ac:dyDescent="0.2">
      <c r="A401" s="117"/>
      <c r="B401" s="117"/>
      <c r="C401" s="117"/>
      <c r="D401" s="117"/>
      <c r="E401" s="117"/>
      <c r="F401" s="117"/>
      <c r="G401" s="117"/>
      <c r="H401" s="117"/>
      <c r="I401" s="117"/>
      <c r="J401" s="117"/>
      <c r="K401" s="117"/>
    </row>
    <row r="402" spans="1:11" ht="15.75" x14ac:dyDescent="0.2">
      <c r="A402" s="117"/>
      <c r="B402" s="117"/>
      <c r="C402" s="117"/>
      <c r="D402" s="117"/>
      <c r="E402" s="117"/>
      <c r="F402" s="117"/>
      <c r="G402" s="117"/>
      <c r="H402" s="117"/>
      <c r="I402" s="117"/>
      <c r="J402" s="117"/>
      <c r="K402" s="117"/>
    </row>
    <row r="403" spans="1:11" ht="15.75" x14ac:dyDescent="0.2">
      <c r="A403" s="117"/>
      <c r="B403" s="117"/>
      <c r="C403" s="117"/>
      <c r="D403" s="117"/>
      <c r="E403" s="117"/>
      <c r="F403" s="117"/>
      <c r="G403" s="117"/>
      <c r="H403" s="117"/>
      <c r="I403" s="117"/>
      <c r="J403" s="117"/>
      <c r="K403" s="117"/>
    </row>
    <row r="404" spans="1:11" ht="15.75" x14ac:dyDescent="0.2">
      <c r="A404" s="117"/>
      <c r="B404" s="117"/>
      <c r="C404" s="117"/>
      <c r="D404" s="117"/>
      <c r="E404" s="117"/>
      <c r="F404" s="117"/>
      <c r="G404" s="117"/>
      <c r="H404" s="117"/>
      <c r="I404" s="117"/>
      <c r="J404" s="117"/>
      <c r="K404" s="117"/>
    </row>
    <row r="405" spans="1:11" ht="15.75" x14ac:dyDescent="0.2">
      <c r="A405" s="117"/>
      <c r="B405" s="117"/>
      <c r="C405" s="117"/>
      <c r="D405" s="117"/>
      <c r="E405" s="117"/>
      <c r="F405" s="117"/>
      <c r="G405" s="117"/>
      <c r="H405" s="117"/>
      <c r="I405" s="117"/>
      <c r="J405" s="117"/>
      <c r="K405" s="117"/>
    </row>
    <row r="406" spans="1:11" ht="15.75" x14ac:dyDescent="0.2">
      <c r="A406" s="117"/>
      <c r="B406" s="117"/>
      <c r="C406" s="117"/>
      <c r="D406" s="117"/>
      <c r="E406" s="117"/>
      <c r="F406" s="117"/>
      <c r="G406" s="117"/>
      <c r="H406" s="117"/>
      <c r="I406" s="117"/>
      <c r="J406" s="117"/>
      <c r="K406" s="117"/>
    </row>
    <row r="407" spans="1:11" ht="15.75" x14ac:dyDescent="0.2">
      <c r="A407" s="117"/>
      <c r="B407" s="117"/>
      <c r="C407" s="117"/>
      <c r="D407" s="117"/>
      <c r="E407" s="117"/>
      <c r="F407" s="117"/>
      <c r="G407" s="117"/>
      <c r="H407" s="117"/>
      <c r="I407" s="117"/>
      <c r="J407" s="117"/>
      <c r="K407" s="117"/>
    </row>
    <row r="408" spans="1:11" ht="15.75" x14ac:dyDescent="0.2">
      <c r="A408" s="117"/>
      <c r="B408" s="117"/>
      <c r="C408" s="117"/>
      <c r="D408" s="117"/>
      <c r="E408" s="117"/>
      <c r="F408" s="117"/>
      <c r="G408" s="117"/>
      <c r="H408" s="117"/>
      <c r="I408" s="117"/>
      <c r="J408" s="117"/>
      <c r="K408" s="117"/>
    </row>
    <row r="409" spans="1:11" ht="15.75" x14ac:dyDescent="0.2">
      <c r="A409" s="117"/>
      <c r="B409" s="117"/>
      <c r="C409" s="117"/>
      <c r="D409" s="117"/>
      <c r="E409" s="117"/>
      <c r="F409" s="117"/>
      <c r="G409" s="117"/>
      <c r="H409" s="117"/>
      <c r="I409" s="117"/>
      <c r="J409" s="117"/>
      <c r="K409" s="117"/>
    </row>
    <row r="410" spans="1:11" ht="15.75" x14ac:dyDescent="0.2">
      <c r="A410" s="117"/>
      <c r="B410" s="117"/>
      <c r="C410" s="117"/>
      <c r="D410" s="117"/>
      <c r="E410" s="117"/>
      <c r="F410" s="117"/>
      <c r="G410" s="117"/>
      <c r="H410" s="117"/>
      <c r="I410" s="117"/>
      <c r="J410" s="117"/>
      <c r="K410" s="117"/>
    </row>
    <row r="411" spans="1:11" ht="15.75" x14ac:dyDescent="0.2">
      <c r="A411" s="117"/>
      <c r="B411" s="117"/>
      <c r="C411" s="117"/>
      <c r="D411" s="117"/>
      <c r="E411" s="117"/>
      <c r="F411" s="117"/>
      <c r="G411" s="117"/>
      <c r="H411" s="117"/>
      <c r="I411" s="117"/>
      <c r="J411" s="117"/>
      <c r="K411" s="117"/>
    </row>
    <row r="412" spans="1:11" ht="15.75" x14ac:dyDescent="0.2">
      <c r="A412" s="117"/>
      <c r="B412" s="117"/>
      <c r="C412" s="117"/>
      <c r="D412" s="117"/>
      <c r="E412" s="117"/>
      <c r="F412" s="117"/>
      <c r="G412" s="117"/>
      <c r="H412" s="117"/>
      <c r="I412" s="117"/>
      <c r="J412" s="117"/>
      <c r="K412" s="117"/>
    </row>
    <row r="413" spans="1:11" ht="15.75" x14ac:dyDescent="0.2">
      <c r="A413" s="117"/>
      <c r="B413" s="117"/>
      <c r="C413" s="117"/>
      <c r="D413" s="117"/>
      <c r="E413" s="117"/>
      <c r="F413" s="117"/>
      <c r="G413" s="117"/>
      <c r="H413" s="117"/>
      <c r="I413" s="117"/>
      <c r="J413" s="117"/>
      <c r="K413" s="117"/>
    </row>
    <row r="414" spans="1:11" ht="15.75" x14ac:dyDescent="0.2">
      <c r="A414" s="117"/>
      <c r="B414" s="117"/>
      <c r="C414" s="117"/>
      <c r="D414" s="117"/>
      <c r="E414" s="117"/>
      <c r="F414" s="117"/>
      <c r="G414" s="117"/>
      <c r="H414" s="117"/>
      <c r="I414" s="117"/>
      <c r="J414" s="117"/>
      <c r="K414" s="117"/>
    </row>
    <row r="415" spans="1:11" ht="15.75" x14ac:dyDescent="0.2">
      <c r="A415" s="117"/>
      <c r="B415" s="117"/>
      <c r="C415" s="117"/>
      <c r="D415" s="117"/>
      <c r="E415" s="117"/>
      <c r="F415" s="117"/>
      <c r="G415" s="117"/>
      <c r="H415" s="117"/>
      <c r="I415" s="117"/>
      <c r="J415" s="117"/>
      <c r="K415" s="117"/>
    </row>
    <row r="416" spans="1:11" ht="15.75" x14ac:dyDescent="0.2">
      <c r="A416" s="117"/>
      <c r="B416" s="117"/>
      <c r="C416" s="117"/>
      <c r="D416" s="117"/>
      <c r="E416" s="117"/>
      <c r="F416" s="117"/>
      <c r="G416" s="117"/>
      <c r="H416" s="117"/>
      <c r="I416" s="117"/>
      <c r="J416" s="117"/>
      <c r="K416" s="117"/>
    </row>
    <row r="417" spans="1:11" ht="15.75" x14ac:dyDescent="0.2">
      <c r="A417" s="117"/>
      <c r="B417" s="117"/>
      <c r="C417" s="117"/>
      <c r="D417" s="117"/>
      <c r="E417" s="117"/>
      <c r="F417" s="117"/>
      <c r="G417" s="117"/>
      <c r="H417" s="117"/>
      <c r="I417" s="117"/>
      <c r="J417" s="117"/>
      <c r="K417" s="117"/>
    </row>
    <row r="418" spans="1:11" ht="15.75" x14ac:dyDescent="0.2">
      <c r="A418" s="117"/>
      <c r="B418" s="117"/>
      <c r="C418" s="117"/>
      <c r="D418" s="117"/>
      <c r="E418" s="117"/>
      <c r="F418" s="117"/>
      <c r="G418" s="117"/>
      <c r="H418" s="117"/>
      <c r="I418" s="117"/>
      <c r="J418" s="117"/>
      <c r="K418" s="117"/>
    </row>
    <row r="419" spans="1:11" ht="15.75" x14ac:dyDescent="0.2">
      <c r="A419" s="117"/>
      <c r="B419" s="117"/>
      <c r="C419" s="117"/>
      <c r="D419" s="117"/>
      <c r="E419" s="117"/>
      <c r="F419" s="117"/>
      <c r="G419" s="117"/>
      <c r="H419" s="117"/>
      <c r="I419" s="117"/>
      <c r="J419" s="117"/>
      <c r="K419" s="117"/>
    </row>
    <row r="420" spans="1:11" ht="15.75" x14ac:dyDescent="0.2">
      <c r="A420" s="117"/>
      <c r="B420" s="117"/>
      <c r="C420" s="117"/>
      <c r="D420" s="117"/>
      <c r="E420" s="117"/>
      <c r="F420" s="117"/>
      <c r="G420" s="117"/>
      <c r="H420" s="117"/>
      <c r="I420" s="117"/>
      <c r="J420" s="117"/>
      <c r="K420" s="117"/>
    </row>
    <row r="421" spans="1:11" ht="15.75" x14ac:dyDescent="0.2">
      <c r="A421" s="117"/>
      <c r="B421" s="117"/>
      <c r="C421" s="117"/>
      <c r="D421" s="117"/>
      <c r="E421" s="117"/>
      <c r="F421" s="117"/>
      <c r="G421" s="117"/>
      <c r="H421" s="117"/>
      <c r="I421" s="117"/>
      <c r="J421" s="117"/>
      <c r="K421" s="117"/>
    </row>
    <row r="422" spans="1:11" ht="15.75" x14ac:dyDescent="0.2">
      <c r="A422" s="117"/>
      <c r="B422" s="117"/>
      <c r="C422" s="117"/>
      <c r="D422" s="117"/>
      <c r="E422" s="117"/>
      <c r="F422" s="117"/>
      <c r="G422" s="117"/>
      <c r="H422" s="117"/>
      <c r="I422" s="117"/>
      <c r="J422" s="117"/>
      <c r="K422" s="117"/>
    </row>
    <row r="423" spans="1:11" ht="15.75" x14ac:dyDescent="0.2">
      <c r="A423" s="117"/>
      <c r="B423" s="117"/>
      <c r="C423" s="117"/>
      <c r="D423" s="117"/>
      <c r="E423" s="117"/>
      <c r="F423" s="117"/>
      <c r="G423" s="117"/>
      <c r="H423" s="117"/>
      <c r="I423" s="117"/>
      <c r="J423" s="117"/>
      <c r="K423" s="117"/>
    </row>
    <row r="424" spans="1:11" ht="15.75" x14ac:dyDescent="0.2">
      <c r="A424" s="117"/>
      <c r="B424" s="117"/>
      <c r="C424" s="117"/>
      <c r="D424" s="117"/>
      <c r="E424" s="117"/>
      <c r="F424" s="117"/>
      <c r="G424" s="117"/>
      <c r="H424" s="117"/>
      <c r="I424" s="117"/>
      <c r="J424" s="117"/>
      <c r="K424" s="117"/>
    </row>
    <row r="425" spans="1:11" ht="15.75" x14ac:dyDescent="0.2">
      <c r="A425" s="117"/>
      <c r="B425" s="117"/>
      <c r="C425" s="117"/>
      <c r="D425" s="117"/>
      <c r="E425" s="117"/>
      <c r="F425" s="117"/>
      <c r="G425" s="117"/>
      <c r="H425" s="117"/>
      <c r="I425" s="117"/>
      <c r="J425" s="117"/>
      <c r="K425" s="117"/>
    </row>
    <row r="426" spans="1:11" ht="15.75" x14ac:dyDescent="0.2">
      <c r="A426" s="117"/>
      <c r="B426" s="117"/>
      <c r="C426" s="117"/>
      <c r="D426" s="117"/>
      <c r="E426" s="117"/>
      <c r="F426" s="117"/>
      <c r="G426" s="117"/>
      <c r="H426" s="117"/>
      <c r="I426" s="117"/>
      <c r="J426" s="117"/>
      <c r="K426" s="117"/>
    </row>
    <row r="427" spans="1:11" ht="15.75" x14ac:dyDescent="0.2">
      <c r="A427" s="117"/>
      <c r="B427" s="117"/>
      <c r="C427" s="117"/>
      <c r="D427" s="117"/>
      <c r="E427" s="117"/>
      <c r="F427" s="117"/>
      <c r="G427" s="117"/>
      <c r="H427" s="117"/>
      <c r="I427" s="117"/>
      <c r="J427" s="117"/>
      <c r="K427" s="117"/>
    </row>
    <row r="428" spans="1:11" ht="15.75" x14ac:dyDescent="0.2">
      <c r="A428" s="117"/>
      <c r="B428" s="117"/>
      <c r="C428" s="117"/>
      <c r="D428" s="117"/>
      <c r="E428" s="117"/>
      <c r="F428" s="117"/>
      <c r="G428" s="117"/>
      <c r="H428" s="117"/>
      <c r="I428" s="117"/>
      <c r="J428" s="117"/>
      <c r="K428" s="117"/>
    </row>
    <row r="429" spans="1:11" ht="15.75" x14ac:dyDescent="0.2">
      <c r="A429" s="117"/>
      <c r="B429" s="117"/>
      <c r="C429" s="117"/>
      <c r="D429" s="117"/>
      <c r="E429" s="117"/>
      <c r="F429" s="117"/>
      <c r="G429" s="117"/>
      <c r="H429" s="117"/>
      <c r="I429" s="117"/>
      <c r="J429" s="117"/>
      <c r="K429" s="117"/>
    </row>
    <row r="430" spans="1:11" ht="15.75" x14ac:dyDescent="0.2">
      <c r="A430" s="117"/>
      <c r="B430" s="117"/>
      <c r="C430" s="117"/>
      <c r="D430" s="117"/>
      <c r="E430" s="117"/>
      <c r="F430" s="117"/>
      <c r="G430" s="117"/>
      <c r="H430" s="117"/>
      <c r="I430" s="117"/>
      <c r="J430" s="117"/>
      <c r="K430" s="117"/>
    </row>
    <row r="431" spans="1:11" ht="15.75" x14ac:dyDescent="0.2">
      <c r="A431" s="117"/>
      <c r="B431" s="117"/>
      <c r="C431" s="117"/>
      <c r="D431" s="117"/>
      <c r="E431" s="117"/>
      <c r="F431" s="117"/>
      <c r="G431" s="117"/>
      <c r="H431" s="117"/>
      <c r="I431" s="117"/>
      <c r="J431" s="117"/>
      <c r="K431" s="117"/>
    </row>
    <row r="432" spans="1:11" ht="15.75" x14ac:dyDescent="0.2">
      <c r="A432" s="117"/>
      <c r="B432" s="117"/>
      <c r="C432" s="117"/>
      <c r="D432" s="117"/>
      <c r="E432" s="117"/>
      <c r="F432" s="117"/>
      <c r="G432" s="117"/>
      <c r="H432" s="117"/>
      <c r="I432" s="117"/>
      <c r="J432" s="117"/>
      <c r="K432" s="117"/>
    </row>
    <row r="433" spans="1:11" ht="15.75" x14ac:dyDescent="0.2">
      <c r="A433" s="117"/>
      <c r="B433" s="117"/>
      <c r="C433" s="117"/>
      <c r="D433" s="117"/>
      <c r="E433" s="117"/>
      <c r="F433" s="117"/>
      <c r="G433" s="117"/>
      <c r="H433" s="117"/>
      <c r="I433" s="117"/>
      <c r="J433" s="117"/>
      <c r="K433" s="117"/>
    </row>
    <row r="434" spans="1:11" ht="15.75" x14ac:dyDescent="0.2">
      <c r="A434" s="117"/>
      <c r="B434" s="117"/>
      <c r="C434" s="117"/>
      <c r="D434" s="117"/>
      <c r="E434" s="117"/>
      <c r="F434" s="117"/>
      <c r="G434" s="117"/>
      <c r="H434" s="117"/>
      <c r="I434" s="117"/>
      <c r="J434" s="117"/>
      <c r="K434" s="117"/>
    </row>
    <row r="435" spans="1:11" ht="15.75" x14ac:dyDescent="0.2">
      <c r="A435" s="117"/>
      <c r="B435" s="117"/>
      <c r="C435" s="117"/>
      <c r="D435" s="117"/>
      <c r="E435" s="117"/>
      <c r="F435" s="117"/>
      <c r="G435" s="117"/>
      <c r="H435" s="117"/>
      <c r="I435" s="117"/>
      <c r="J435" s="117"/>
      <c r="K435" s="117"/>
    </row>
    <row r="436" spans="1:11" ht="15.75" x14ac:dyDescent="0.2">
      <c r="A436" s="117"/>
      <c r="B436" s="117"/>
      <c r="C436" s="117"/>
      <c r="D436" s="117"/>
      <c r="E436" s="117"/>
      <c r="F436" s="117"/>
      <c r="G436" s="117"/>
      <c r="H436" s="117"/>
      <c r="I436" s="117"/>
      <c r="J436" s="117"/>
      <c r="K436" s="117"/>
    </row>
    <row r="437" spans="1:11" ht="15.75" x14ac:dyDescent="0.2">
      <c r="A437" s="117"/>
      <c r="B437" s="117"/>
      <c r="C437" s="117"/>
      <c r="D437" s="117"/>
      <c r="E437" s="117"/>
      <c r="F437" s="117"/>
      <c r="G437" s="117"/>
      <c r="H437" s="117"/>
      <c r="I437" s="117"/>
      <c r="J437" s="117"/>
      <c r="K437" s="117"/>
    </row>
    <row r="438" spans="1:11" ht="15.75" x14ac:dyDescent="0.2">
      <c r="A438" s="117"/>
      <c r="B438" s="117"/>
      <c r="C438" s="117"/>
      <c r="D438" s="117"/>
      <c r="E438" s="117"/>
      <c r="F438" s="117"/>
      <c r="G438" s="117"/>
      <c r="H438" s="117"/>
      <c r="I438" s="117"/>
      <c r="J438" s="117"/>
      <c r="K438" s="117"/>
    </row>
    <row r="439" spans="1:11" ht="15.75" x14ac:dyDescent="0.2">
      <c r="A439" s="117"/>
      <c r="B439" s="117"/>
      <c r="C439" s="117"/>
      <c r="D439" s="117"/>
      <c r="E439" s="117"/>
      <c r="F439" s="117"/>
      <c r="G439" s="117"/>
      <c r="H439" s="117"/>
      <c r="I439" s="117"/>
      <c r="J439" s="117"/>
      <c r="K439" s="117"/>
    </row>
    <row r="440" spans="1:11" ht="15.75" x14ac:dyDescent="0.2">
      <c r="A440" s="117"/>
      <c r="B440" s="117"/>
      <c r="C440" s="117"/>
      <c r="D440" s="117"/>
      <c r="E440" s="117"/>
      <c r="F440" s="117"/>
      <c r="G440" s="117"/>
      <c r="H440" s="117"/>
      <c r="I440" s="117"/>
      <c r="J440" s="117"/>
      <c r="K440" s="117"/>
    </row>
    <row r="441" spans="1:11" ht="15.75" x14ac:dyDescent="0.2">
      <c r="A441" s="117"/>
      <c r="B441" s="117"/>
      <c r="C441" s="117"/>
      <c r="D441" s="117"/>
      <c r="E441" s="117"/>
      <c r="F441" s="117"/>
      <c r="G441" s="117"/>
      <c r="H441" s="117"/>
      <c r="I441" s="117"/>
      <c r="J441" s="117"/>
      <c r="K441" s="117"/>
    </row>
    <row r="442" spans="1:11" ht="15.75" x14ac:dyDescent="0.2">
      <c r="A442" s="117"/>
      <c r="B442" s="117"/>
      <c r="C442" s="117"/>
      <c r="D442" s="117"/>
      <c r="E442" s="117"/>
      <c r="F442" s="117"/>
      <c r="G442" s="117"/>
      <c r="H442" s="117"/>
      <c r="I442" s="117"/>
      <c r="J442" s="117"/>
      <c r="K442" s="117"/>
    </row>
    <row r="443" spans="1:11" ht="15.75" x14ac:dyDescent="0.2">
      <c r="A443" s="117"/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</row>
    <row r="444" spans="1:11" ht="15.75" x14ac:dyDescent="0.2">
      <c r="A444" s="117"/>
      <c r="B444" s="117"/>
      <c r="C444" s="117"/>
      <c r="D444" s="117"/>
      <c r="E444" s="117"/>
      <c r="F444" s="117"/>
      <c r="G444" s="117"/>
      <c r="H444" s="117"/>
      <c r="I444" s="117"/>
      <c r="J444" s="117"/>
      <c r="K444" s="117"/>
    </row>
    <row r="445" spans="1:11" ht="15.75" x14ac:dyDescent="0.2">
      <c r="A445" s="117"/>
      <c r="B445" s="117"/>
      <c r="C445" s="117"/>
      <c r="D445" s="117"/>
      <c r="E445" s="117"/>
      <c r="F445" s="117"/>
      <c r="G445" s="117"/>
      <c r="H445" s="117"/>
      <c r="I445" s="117"/>
      <c r="J445" s="117"/>
      <c r="K445" s="117"/>
    </row>
    <row r="446" spans="1:11" ht="15.75" x14ac:dyDescent="0.2">
      <c r="A446" s="117"/>
      <c r="B446" s="117"/>
      <c r="C446" s="117"/>
      <c r="D446" s="117"/>
      <c r="E446" s="117"/>
      <c r="F446" s="117"/>
      <c r="G446" s="117"/>
      <c r="H446" s="117"/>
      <c r="I446" s="117"/>
      <c r="J446" s="117"/>
      <c r="K446" s="117"/>
    </row>
    <row r="447" spans="1:11" ht="15.75" x14ac:dyDescent="0.2">
      <c r="A447" s="117"/>
      <c r="B447" s="117"/>
      <c r="C447" s="117"/>
      <c r="D447" s="117"/>
      <c r="E447" s="117"/>
      <c r="F447" s="117"/>
      <c r="G447" s="117"/>
      <c r="H447" s="117"/>
      <c r="I447" s="117"/>
      <c r="J447" s="117"/>
      <c r="K447" s="117"/>
    </row>
    <row r="448" spans="1:11" ht="15.75" x14ac:dyDescent="0.2">
      <c r="A448" s="117"/>
      <c r="B448" s="117"/>
      <c r="C448" s="117"/>
      <c r="D448" s="117"/>
      <c r="E448" s="117"/>
      <c r="F448" s="117"/>
      <c r="G448" s="117"/>
      <c r="H448" s="117"/>
      <c r="I448" s="117"/>
      <c r="J448" s="117"/>
      <c r="K448" s="117"/>
    </row>
    <row r="449" spans="1:11" ht="15.75" x14ac:dyDescent="0.2">
      <c r="A449" s="117"/>
      <c r="B449" s="117"/>
      <c r="C449" s="117"/>
      <c r="D449" s="117"/>
      <c r="E449" s="117"/>
      <c r="F449" s="117"/>
      <c r="G449" s="117"/>
      <c r="H449" s="117"/>
      <c r="I449" s="117"/>
      <c r="J449" s="117"/>
      <c r="K449" s="117"/>
    </row>
    <row r="450" spans="1:11" ht="15.75" x14ac:dyDescent="0.2">
      <c r="A450" s="117"/>
      <c r="B450" s="117"/>
      <c r="C450" s="117"/>
      <c r="D450" s="117"/>
      <c r="E450" s="117"/>
      <c r="F450" s="117"/>
      <c r="G450" s="117"/>
      <c r="H450" s="117"/>
      <c r="I450" s="117"/>
      <c r="J450" s="117"/>
      <c r="K450" s="117"/>
    </row>
    <row r="451" spans="1:11" ht="15.75" x14ac:dyDescent="0.2">
      <c r="A451" s="117"/>
      <c r="B451" s="117"/>
      <c r="C451" s="117"/>
      <c r="D451" s="117"/>
      <c r="E451" s="117"/>
      <c r="F451" s="117"/>
      <c r="G451" s="117"/>
      <c r="H451" s="117"/>
      <c r="I451" s="117"/>
      <c r="J451" s="117"/>
      <c r="K451" s="117"/>
    </row>
    <row r="452" spans="1:11" ht="15.75" x14ac:dyDescent="0.2">
      <c r="A452" s="117"/>
      <c r="B452" s="117"/>
      <c r="C452" s="117"/>
      <c r="D452" s="117"/>
      <c r="E452" s="117"/>
      <c r="F452" s="117"/>
      <c r="G452" s="117"/>
      <c r="H452" s="117"/>
      <c r="I452" s="117"/>
      <c r="J452" s="117"/>
      <c r="K452" s="117"/>
    </row>
    <row r="453" spans="1:11" ht="15.75" x14ac:dyDescent="0.2">
      <c r="A453" s="117"/>
      <c r="B453" s="117"/>
      <c r="C453" s="117"/>
      <c r="D453" s="117"/>
      <c r="E453" s="117"/>
      <c r="F453" s="117"/>
      <c r="G453" s="117"/>
      <c r="H453" s="117"/>
      <c r="I453" s="117"/>
      <c r="J453" s="117"/>
      <c r="K453" s="117"/>
    </row>
    <row r="454" spans="1:11" ht="15.75" x14ac:dyDescent="0.2">
      <c r="A454" s="117"/>
      <c r="B454" s="117"/>
      <c r="C454" s="117"/>
      <c r="D454" s="117"/>
      <c r="E454" s="117"/>
      <c r="F454" s="117"/>
      <c r="G454" s="117"/>
      <c r="H454" s="117"/>
      <c r="I454" s="117"/>
      <c r="J454" s="117"/>
      <c r="K454" s="117"/>
    </row>
    <row r="455" spans="1:11" ht="15.75" x14ac:dyDescent="0.2">
      <c r="A455" s="117"/>
      <c r="B455" s="117"/>
      <c r="C455" s="117"/>
      <c r="D455" s="117"/>
      <c r="E455" s="117"/>
      <c r="F455" s="117"/>
      <c r="G455" s="117"/>
      <c r="H455" s="117"/>
      <c r="I455" s="117"/>
      <c r="J455" s="117"/>
      <c r="K455" s="117"/>
    </row>
    <row r="456" spans="1:11" ht="15.75" x14ac:dyDescent="0.2">
      <c r="A456" s="117"/>
      <c r="B456" s="117"/>
      <c r="C456" s="117"/>
      <c r="D456" s="117"/>
      <c r="E456" s="117"/>
      <c r="F456" s="117"/>
      <c r="G456" s="117"/>
      <c r="H456" s="117"/>
      <c r="I456" s="117"/>
      <c r="J456" s="117"/>
      <c r="K456" s="117"/>
    </row>
    <row r="457" spans="1:11" ht="15.75" x14ac:dyDescent="0.2">
      <c r="A457" s="117"/>
      <c r="B457" s="117"/>
      <c r="C457" s="117"/>
      <c r="D457" s="117"/>
      <c r="E457" s="117"/>
      <c r="F457" s="117"/>
      <c r="G457" s="117"/>
      <c r="H457" s="117"/>
      <c r="I457" s="117"/>
      <c r="J457" s="117"/>
      <c r="K457" s="117"/>
    </row>
    <row r="458" spans="1:11" ht="15.75" x14ac:dyDescent="0.2">
      <c r="A458" s="117"/>
      <c r="B458" s="117"/>
      <c r="C458" s="117"/>
      <c r="D458" s="117"/>
      <c r="E458" s="117"/>
      <c r="F458" s="117"/>
      <c r="G458" s="117"/>
      <c r="H458" s="117"/>
      <c r="I458" s="117"/>
      <c r="J458" s="117"/>
      <c r="K458" s="117"/>
    </row>
    <row r="459" spans="1:11" ht="15.75" x14ac:dyDescent="0.2">
      <c r="A459" s="117"/>
      <c r="B459" s="117"/>
      <c r="C459" s="117"/>
      <c r="D459" s="117"/>
      <c r="E459" s="117"/>
      <c r="F459" s="117"/>
      <c r="G459" s="117"/>
      <c r="H459" s="117"/>
      <c r="I459" s="117"/>
      <c r="J459" s="117"/>
      <c r="K459" s="117"/>
    </row>
    <row r="460" spans="1:11" ht="15.75" x14ac:dyDescent="0.2">
      <c r="A460" s="117"/>
      <c r="B460" s="117"/>
      <c r="C460" s="117"/>
      <c r="D460" s="117"/>
      <c r="E460" s="117"/>
      <c r="F460" s="117"/>
      <c r="G460" s="117"/>
      <c r="H460" s="117"/>
      <c r="I460" s="117"/>
      <c r="J460" s="117"/>
      <c r="K460" s="117"/>
    </row>
    <row r="461" spans="1:11" ht="15.75" x14ac:dyDescent="0.2">
      <c r="A461" s="117"/>
      <c r="B461" s="117"/>
      <c r="C461" s="117"/>
      <c r="D461" s="117"/>
      <c r="E461" s="117"/>
      <c r="F461" s="117"/>
      <c r="G461" s="117"/>
      <c r="H461" s="117"/>
      <c r="I461" s="117"/>
      <c r="J461" s="117"/>
      <c r="K461" s="117"/>
    </row>
    <row r="462" spans="1:11" ht="15.75" x14ac:dyDescent="0.2">
      <c r="A462" s="117"/>
      <c r="B462" s="117"/>
      <c r="C462" s="117"/>
      <c r="D462" s="117"/>
      <c r="E462" s="117"/>
      <c r="F462" s="117"/>
      <c r="G462" s="117"/>
      <c r="H462" s="117"/>
      <c r="I462" s="117"/>
      <c r="J462" s="117"/>
      <c r="K462" s="117"/>
    </row>
    <row r="463" spans="1:11" ht="15.75" x14ac:dyDescent="0.2">
      <c r="A463" s="117"/>
      <c r="B463" s="117"/>
      <c r="C463" s="117"/>
      <c r="D463" s="117"/>
      <c r="E463" s="117"/>
      <c r="F463" s="117"/>
      <c r="G463" s="117"/>
      <c r="H463" s="117"/>
      <c r="I463" s="117"/>
      <c r="J463" s="117"/>
      <c r="K463" s="117"/>
    </row>
    <row r="464" spans="1:11" ht="15.75" x14ac:dyDescent="0.2">
      <c r="A464" s="117"/>
      <c r="B464" s="117"/>
      <c r="C464" s="117"/>
      <c r="D464" s="117"/>
      <c r="E464" s="117"/>
      <c r="F464" s="117"/>
      <c r="G464" s="117"/>
      <c r="H464" s="117"/>
      <c r="I464" s="117"/>
      <c r="J464" s="117"/>
      <c r="K464" s="117"/>
    </row>
    <row r="465" spans="1:11" ht="15.75" x14ac:dyDescent="0.2">
      <c r="A465" s="117"/>
      <c r="B465" s="117"/>
      <c r="C465" s="117"/>
      <c r="D465" s="117"/>
      <c r="E465" s="117"/>
      <c r="F465" s="117"/>
      <c r="G465" s="117"/>
      <c r="H465" s="117"/>
      <c r="I465" s="117"/>
      <c r="J465" s="117"/>
      <c r="K465" s="117"/>
    </row>
    <row r="466" spans="1:11" ht="15.75" x14ac:dyDescent="0.2">
      <c r="A466" s="117"/>
      <c r="B466" s="117"/>
      <c r="C466" s="117"/>
      <c r="D466" s="117"/>
      <c r="E466" s="117"/>
      <c r="F466" s="117"/>
      <c r="G466" s="117"/>
      <c r="H466" s="117"/>
      <c r="I466" s="117"/>
      <c r="J466" s="117"/>
      <c r="K466" s="117"/>
    </row>
    <row r="467" spans="1:11" ht="15.75" x14ac:dyDescent="0.2">
      <c r="A467" s="117"/>
      <c r="B467" s="117"/>
      <c r="C467" s="117"/>
      <c r="D467" s="117"/>
      <c r="E467" s="117"/>
      <c r="F467" s="117"/>
      <c r="G467" s="117"/>
      <c r="H467" s="117"/>
      <c r="I467" s="117"/>
      <c r="J467" s="117"/>
      <c r="K467" s="117"/>
    </row>
    <row r="468" spans="1:11" ht="15.75" x14ac:dyDescent="0.2">
      <c r="A468" s="117"/>
      <c r="B468" s="117"/>
      <c r="C468" s="117"/>
      <c r="D468" s="117"/>
      <c r="E468" s="117"/>
      <c r="F468" s="117"/>
      <c r="G468" s="117"/>
      <c r="H468" s="117"/>
      <c r="I468" s="117"/>
      <c r="J468" s="117"/>
      <c r="K468" s="117"/>
    </row>
    <row r="469" spans="1:11" ht="15.75" x14ac:dyDescent="0.2">
      <c r="A469" s="117"/>
      <c r="B469" s="117"/>
      <c r="C469" s="117"/>
      <c r="D469" s="117"/>
      <c r="E469" s="117"/>
      <c r="F469" s="117"/>
      <c r="G469" s="117"/>
      <c r="H469" s="117"/>
      <c r="I469" s="117"/>
      <c r="J469" s="117"/>
      <c r="K469" s="117"/>
    </row>
    <row r="470" spans="1:11" ht="15.75" x14ac:dyDescent="0.2">
      <c r="A470" s="117"/>
      <c r="B470" s="117"/>
      <c r="C470" s="117"/>
      <c r="D470" s="117"/>
      <c r="E470" s="117"/>
      <c r="F470" s="117"/>
      <c r="G470" s="117"/>
      <c r="H470" s="117"/>
      <c r="I470" s="117"/>
      <c r="J470" s="117"/>
      <c r="K470" s="117"/>
    </row>
    <row r="471" spans="1:11" ht="15.75" x14ac:dyDescent="0.2">
      <c r="A471" s="117"/>
      <c r="B471" s="117"/>
      <c r="C471" s="117"/>
      <c r="D471" s="117"/>
      <c r="E471" s="117"/>
      <c r="F471" s="117"/>
      <c r="G471" s="117"/>
      <c r="H471" s="117"/>
      <c r="I471" s="117"/>
      <c r="J471" s="117"/>
      <c r="K471" s="117"/>
    </row>
    <row r="472" spans="1:11" ht="15.75" x14ac:dyDescent="0.2">
      <c r="A472" s="117"/>
      <c r="B472" s="117"/>
      <c r="C472" s="117"/>
      <c r="D472" s="117"/>
      <c r="E472" s="117"/>
      <c r="F472" s="117"/>
      <c r="G472" s="117"/>
      <c r="H472" s="117"/>
      <c r="I472" s="117"/>
      <c r="J472" s="117"/>
      <c r="K472" s="117"/>
    </row>
    <row r="473" spans="1:11" ht="15.75" x14ac:dyDescent="0.2">
      <c r="A473" s="117"/>
      <c r="B473" s="117"/>
      <c r="C473" s="117"/>
      <c r="D473" s="117"/>
      <c r="E473" s="117"/>
      <c r="F473" s="117"/>
      <c r="G473" s="117"/>
      <c r="H473" s="117"/>
      <c r="I473" s="117"/>
      <c r="J473" s="117"/>
      <c r="K473" s="117"/>
    </row>
    <row r="474" spans="1:11" ht="15.75" x14ac:dyDescent="0.2">
      <c r="A474" s="117"/>
      <c r="B474" s="117"/>
      <c r="C474" s="117"/>
      <c r="D474" s="117"/>
      <c r="E474" s="117"/>
      <c r="F474" s="117"/>
      <c r="G474" s="117"/>
      <c r="H474" s="117"/>
      <c r="I474" s="117"/>
      <c r="J474" s="117"/>
      <c r="K474" s="117"/>
    </row>
    <row r="475" spans="1:11" ht="15.75" x14ac:dyDescent="0.2">
      <c r="A475" s="117"/>
      <c r="B475" s="117"/>
      <c r="C475" s="117"/>
      <c r="D475" s="117"/>
      <c r="E475" s="117"/>
      <c r="F475" s="117"/>
      <c r="G475" s="117"/>
      <c r="H475" s="117"/>
      <c r="I475" s="117"/>
      <c r="J475" s="117"/>
      <c r="K475" s="117"/>
    </row>
    <row r="476" spans="1:11" ht="15.75" x14ac:dyDescent="0.2">
      <c r="A476" s="117"/>
      <c r="B476" s="117"/>
      <c r="C476" s="117"/>
      <c r="D476" s="117"/>
      <c r="E476" s="117"/>
      <c r="F476" s="117"/>
      <c r="G476" s="117"/>
      <c r="H476" s="117"/>
      <c r="I476" s="117"/>
      <c r="J476" s="117"/>
      <c r="K476" s="117"/>
    </row>
    <row r="477" spans="1:11" ht="15.75" x14ac:dyDescent="0.2">
      <c r="A477" s="117"/>
      <c r="B477" s="117"/>
      <c r="C477" s="117"/>
      <c r="D477" s="117"/>
      <c r="E477" s="117"/>
      <c r="F477" s="117"/>
      <c r="G477" s="117"/>
      <c r="H477" s="117"/>
      <c r="I477" s="117"/>
      <c r="J477" s="117"/>
      <c r="K477" s="117"/>
    </row>
    <row r="478" spans="1:11" ht="15.75" x14ac:dyDescent="0.2">
      <c r="A478" s="117"/>
      <c r="B478" s="117"/>
      <c r="C478" s="117"/>
      <c r="D478" s="117"/>
      <c r="E478" s="117"/>
      <c r="F478" s="117"/>
      <c r="G478" s="117"/>
      <c r="H478" s="117"/>
      <c r="I478" s="117"/>
      <c r="J478" s="117"/>
      <c r="K478" s="117"/>
    </row>
    <row r="479" spans="1:11" ht="15.75" x14ac:dyDescent="0.2">
      <c r="A479" s="117"/>
      <c r="B479" s="117"/>
      <c r="C479" s="117"/>
      <c r="D479" s="117"/>
      <c r="E479" s="117"/>
      <c r="F479" s="117"/>
      <c r="G479" s="117"/>
      <c r="H479" s="117"/>
      <c r="I479" s="117"/>
      <c r="J479" s="117"/>
      <c r="K479" s="117"/>
    </row>
    <row r="480" spans="1:11" ht="15.75" x14ac:dyDescent="0.2">
      <c r="A480" s="117"/>
      <c r="B480" s="117"/>
      <c r="C480" s="117"/>
      <c r="D480" s="117"/>
      <c r="E480" s="117"/>
      <c r="F480" s="117"/>
      <c r="G480" s="117"/>
      <c r="H480" s="117"/>
      <c r="I480" s="117"/>
      <c r="J480" s="117"/>
      <c r="K480" s="117"/>
    </row>
    <row r="481" spans="1:11" ht="15.75" x14ac:dyDescent="0.2">
      <c r="A481" s="117"/>
      <c r="B481" s="117"/>
      <c r="C481" s="117"/>
      <c r="D481" s="117"/>
      <c r="E481" s="117"/>
      <c r="F481" s="117"/>
      <c r="G481" s="117"/>
      <c r="H481" s="117"/>
      <c r="I481" s="117"/>
      <c r="J481" s="117"/>
      <c r="K481" s="117"/>
    </row>
    <row r="482" spans="1:11" ht="15.75" x14ac:dyDescent="0.2">
      <c r="A482" s="117"/>
      <c r="B482" s="117"/>
      <c r="C482" s="117"/>
      <c r="D482" s="117"/>
      <c r="E482" s="117"/>
      <c r="F482" s="117"/>
      <c r="G482" s="117"/>
      <c r="H482" s="117"/>
      <c r="I482" s="117"/>
      <c r="J482" s="117"/>
      <c r="K482" s="117"/>
    </row>
    <row r="483" spans="1:11" ht="15.75" x14ac:dyDescent="0.2">
      <c r="A483" s="117"/>
      <c r="B483" s="117"/>
      <c r="C483" s="117"/>
      <c r="D483" s="117"/>
      <c r="E483" s="117"/>
      <c r="F483" s="117"/>
      <c r="G483" s="117"/>
      <c r="H483" s="117"/>
      <c r="I483" s="117"/>
      <c r="J483" s="117"/>
      <c r="K483" s="117"/>
    </row>
    <row r="484" spans="1:11" ht="15.75" x14ac:dyDescent="0.2">
      <c r="A484" s="117"/>
      <c r="B484" s="117"/>
      <c r="C484" s="117"/>
      <c r="D484" s="117"/>
      <c r="E484" s="117"/>
      <c r="F484" s="117"/>
      <c r="G484" s="117"/>
      <c r="H484" s="117"/>
      <c r="I484" s="117"/>
      <c r="J484" s="117"/>
      <c r="K484" s="117"/>
    </row>
    <row r="485" spans="1:11" ht="15.75" x14ac:dyDescent="0.2">
      <c r="A485" s="117"/>
      <c r="B485" s="117"/>
      <c r="C485" s="117"/>
      <c r="D485" s="117"/>
      <c r="E485" s="117"/>
      <c r="F485" s="117"/>
      <c r="G485" s="117"/>
      <c r="H485" s="117"/>
      <c r="I485" s="117"/>
      <c r="J485" s="117"/>
      <c r="K485" s="117"/>
    </row>
    <row r="486" spans="1:11" ht="15.75" x14ac:dyDescent="0.2">
      <c r="A486" s="117"/>
      <c r="B486" s="117"/>
      <c r="C486" s="117"/>
      <c r="D486" s="117"/>
      <c r="E486" s="117"/>
      <c r="F486" s="117"/>
      <c r="G486" s="117"/>
      <c r="H486" s="117"/>
      <c r="I486" s="117"/>
      <c r="J486" s="117"/>
      <c r="K486" s="117"/>
    </row>
    <row r="487" spans="1:11" ht="15.75" x14ac:dyDescent="0.2">
      <c r="A487" s="117"/>
      <c r="B487" s="117"/>
      <c r="C487" s="117"/>
      <c r="D487" s="117"/>
      <c r="E487" s="117"/>
      <c r="F487" s="117"/>
      <c r="G487" s="117"/>
      <c r="H487" s="117"/>
      <c r="I487" s="117"/>
      <c r="J487" s="117"/>
      <c r="K487" s="117"/>
    </row>
    <row r="488" spans="1:11" ht="15.75" x14ac:dyDescent="0.2">
      <c r="A488" s="117"/>
      <c r="B488" s="117"/>
      <c r="C488" s="117"/>
      <c r="D488" s="117"/>
      <c r="E488" s="117"/>
      <c r="F488" s="117"/>
      <c r="G488" s="117"/>
      <c r="H488" s="117"/>
      <c r="I488" s="117"/>
      <c r="J488" s="117"/>
      <c r="K488" s="117"/>
    </row>
    <row r="489" spans="1:11" ht="15.75" x14ac:dyDescent="0.2">
      <c r="A489" s="117"/>
      <c r="B489" s="117"/>
      <c r="C489" s="117"/>
      <c r="D489" s="117"/>
      <c r="E489" s="117"/>
      <c r="F489" s="117"/>
      <c r="G489" s="117"/>
      <c r="H489" s="117"/>
      <c r="I489" s="117"/>
      <c r="J489" s="117"/>
      <c r="K489" s="117"/>
    </row>
    <row r="490" spans="1:11" ht="15.75" x14ac:dyDescent="0.2">
      <c r="A490" s="117"/>
      <c r="B490" s="117"/>
      <c r="C490" s="117"/>
      <c r="D490" s="117"/>
      <c r="E490" s="117"/>
      <c r="F490" s="117"/>
      <c r="G490" s="117"/>
      <c r="H490" s="117"/>
      <c r="I490" s="117"/>
      <c r="J490" s="117"/>
      <c r="K490" s="117"/>
    </row>
    <row r="491" spans="1:11" ht="15.75" x14ac:dyDescent="0.2">
      <c r="A491" s="117"/>
      <c r="B491" s="117"/>
      <c r="C491" s="117"/>
      <c r="D491" s="117"/>
      <c r="E491" s="117"/>
      <c r="F491" s="117"/>
      <c r="G491" s="117"/>
      <c r="H491" s="117"/>
      <c r="I491" s="117"/>
      <c r="J491" s="117"/>
      <c r="K491" s="117"/>
    </row>
    <row r="492" spans="1:11" ht="15.75" x14ac:dyDescent="0.2">
      <c r="A492" s="117"/>
      <c r="B492" s="117"/>
      <c r="C492" s="117"/>
      <c r="D492" s="117"/>
      <c r="E492" s="117"/>
      <c r="F492" s="117"/>
      <c r="G492" s="117"/>
      <c r="H492" s="117"/>
      <c r="I492" s="117"/>
      <c r="J492" s="117"/>
      <c r="K492" s="117"/>
    </row>
    <row r="493" spans="1:11" ht="15.75" x14ac:dyDescent="0.2">
      <c r="A493" s="117"/>
      <c r="B493" s="117"/>
      <c r="C493" s="117"/>
      <c r="D493" s="117"/>
      <c r="E493" s="117"/>
      <c r="F493" s="117"/>
      <c r="G493" s="117"/>
      <c r="H493" s="117"/>
      <c r="I493" s="117"/>
      <c r="J493" s="117"/>
      <c r="K493" s="117"/>
    </row>
    <row r="494" spans="1:11" ht="15.75" x14ac:dyDescent="0.2">
      <c r="A494" s="117"/>
      <c r="B494" s="117"/>
      <c r="C494" s="117"/>
      <c r="D494" s="117"/>
      <c r="E494" s="117"/>
      <c r="F494" s="117"/>
      <c r="G494" s="117"/>
      <c r="H494" s="117"/>
      <c r="I494" s="117"/>
      <c r="J494" s="117"/>
      <c r="K494" s="117"/>
    </row>
    <row r="495" spans="1:11" ht="15.75" x14ac:dyDescent="0.2">
      <c r="A495" s="117"/>
      <c r="B495" s="117"/>
      <c r="C495" s="117"/>
      <c r="D495" s="117"/>
      <c r="E495" s="117"/>
      <c r="F495" s="117"/>
      <c r="G495" s="117"/>
      <c r="H495" s="117"/>
      <c r="I495" s="117"/>
      <c r="J495" s="117"/>
      <c r="K495" s="117"/>
    </row>
    <row r="496" spans="1:11" ht="15.75" x14ac:dyDescent="0.2">
      <c r="A496" s="117"/>
      <c r="B496" s="117"/>
      <c r="C496" s="117"/>
      <c r="D496" s="117"/>
      <c r="E496" s="117"/>
      <c r="F496" s="117"/>
      <c r="G496" s="117"/>
      <c r="H496" s="117"/>
      <c r="I496" s="117"/>
      <c r="J496" s="117"/>
      <c r="K496" s="117"/>
    </row>
    <row r="497" spans="1:11" ht="15.75" x14ac:dyDescent="0.2">
      <c r="A497" s="117"/>
      <c r="B497" s="117"/>
      <c r="C497" s="117"/>
      <c r="D497" s="117"/>
      <c r="E497" s="117"/>
      <c r="F497" s="117"/>
      <c r="G497" s="117"/>
      <c r="H497" s="117"/>
      <c r="I497" s="117"/>
      <c r="J497" s="117"/>
      <c r="K497" s="117"/>
    </row>
    <row r="498" spans="1:11" ht="15.75" x14ac:dyDescent="0.2">
      <c r="A498" s="117"/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</row>
    <row r="499" spans="1:11" ht="15.75" x14ac:dyDescent="0.2">
      <c r="A499" s="117"/>
      <c r="B499" s="117"/>
      <c r="C499" s="117"/>
      <c r="D499" s="117"/>
      <c r="E499" s="117"/>
      <c r="F499" s="117"/>
      <c r="G499" s="117"/>
      <c r="H499" s="117"/>
      <c r="I499" s="117"/>
      <c r="J499" s="117"/>
      <c r="K499" s="117"/>
    </row>
    <row r="500" spans="1:11" ht="15.75" x14ac:dyDescent="0.2">
      <c r="A500" s="117"/>
      <c r="B500" s="117"/>
      <c r="C500" s="117"/>
      <c r="D500" s="117"/>
      <c r="E500" s="117"/>
      <c r="F500" s="117"/>
      <c r="G500" s="117"/>
      <c r="H500" s="117"/>
      <c r="I500" s="117"/>
      <c r="J500" s="117"/>
      <c r="K500" s="117"/>
    </row>
    <row r="501" spans="1:11" ht="15.75" x14ac:dyDescent="0.2">
      <c r="A501" s="117"/>
      <c r="B501" s="117"/>
      <c r="C501" s="117"/>
      <c r="D501" s="117"/>
      <c r="E501" s="117"/>
      <c r="F501" s="117"/>
      <c r="G501" s="117"/>
      <c r="H501" s="117"/>
      <c r="I501" s="117"/>
      <c r="J501" s="117"/>
      <c r="K501" s="117"/>
    </row>
    <row r="502" spans="1:11" ht="15.75" x14ac:dyDescent="0.2">
      <c r="A502" s="117"/>
      <c r="B502" s="117"/>
      <c r="C502" s="117"/>
      <c r="D502" s="117"/>
      <c r="E502" s="117"/>
      <c r="F502" s="117"/>
      <c r="G502" s="117"/>
      <c r="H502" s="117"/>
      <c r="I502" s="117"/>
      <c r="J502" s="117"/>
      <c r="K502" s="117"/>
    </row>
    <row r="503" spans="1:11" ht="15.75" x14ac:dyDescent="0.2">
      <c r="A503" s="117"/>
      <c r="B503" s="117"/>
      <c r="C503" s="117"/>
      <c r="D503" s="117"/>
      <c r="E503" s="117"/>
      <c r="F503" s="117"/>
      <c r="G503" s="117"/>
      <c r="H503" s="117"/>
      <c r="I503" s="117"/>
      <c r="J503" s="117"/>
      <c r="K503" s="117"/>
    </row>
    <row r="504" spans="1:11" ht="15.75" x14ac:dyDescent="0.2">
      <c r="A504" s="117"/>
      <c r="B504" s="117"/>
      <c r="C504" s="117"/>
      <c r="D504" s="117"/>
      <c r="E504" s="117"/>
      <c r="F504" s="117"/>
      <c r="G504" s="117"/>
      <c r="H504" s="117"/>
      <c r="I504" s="117"/>
      <c r="J504" s="117"/>
      <c r="K504" s="117"/>
    </row>
    <row r="505" spans="1:11" ht="15.75" x14ac:dyDescent="0.2">
      <c r="A505" s="117"/>
      <c r="B505" s="117"/>
      <c r="C505" s="117"/>
      <c r="D505" s="117"/>
      <c r="E505" s="117"/>
      <c r="F505" s="117"/>
      <c r="G505" s="117"/>
      <c r="H505" s="117"/>
      <c r="I505" s="117"/>
      <c r="J505" s="117"/>
      <c r="K505" s="117"/>
    </row>
    <row r="506" spans="1:11" ht="15.75" x14ac:dyDescent="0.2">
      <c r="A506" s="117"/>
      <c r="B506" s="117"/>
      <c r="C506" s="117"/>
      <c r="D506" s="117"/>
      <c r="E506" s="117"/>
      <c r="F506" s="117"/>
      <c r="G506" s="117"/>
      <c r="H506" s="117"/>
      <c r="I506" s="117"/>
      <c r="J506" s="117"/>
      <c r="K506" s="117"/>
    </row>
    <row r="507" spans="1:11" ht="15.75" x14ac:dyDescent="0.2">
      <c r="A507" s="117"/>
      <c r="B507" s="117"/>
      <c r="C507" s="117"/>
      <c r="D507" s="117"/>
      <c r="E507" s="117"/>
      <c r="F507" s="117"/>
      <c r="G507" s="117"/>
      <c r="H507" s="117"/>
      <c r="I507" s="117"/>
      <c r="J507" s="117"/>
      <c r="K507" s="117"/>
    </row>
    <row r="508" spans="1:11" ht="15.75" x14ac:dyDescent="0.2">
      <c r="A508" s="117"/>
      <c r="B508" s="117"/>
      <c r="C508" s="117"/>
      <c r="D508" s="117"/>
      <c r="E508" s="117"/>
      <c r="F508" s="117"/>
      <c r="G508" s="117"/>
      <c r="H508" s="117"/>
      <c r="I508" s="117"/>
      <c r="J508" s="117"/>
      <c r="K508" s="117"/>
    </row>
    <row r="509" spans="1:11" ht="15.75" x14ac:dyDescent="0.2">
      <c r="A509" s="117"/>
      <c r="B509" s="117"/>
      <c r="C509" s="117"/>
      <c r="D509" s="117"/>
      <c r="E509" s="117"/>
      <c r="F509" s="117"/>
      <c r="G509" s="117"/>
      <c r="H509" s="117"/>
      <c r="I509" s="117"/>
      <c r="J509" s="117"/>
      <c r="K509" s="117"/>
    </row>
    <row r="510" spans="1:11" ht="15.75" x14ac:dyDescent="0.2">
      <c r="A510" s="117"/>
      <c r="B510" s="117"/>
      <c r="C510" s="117"/>
      <c r="D510" s="117"/>
      <c r="E510" s="117"/>
      <c r="F510" s="117"/>
      <c r="G510" s="117"/>
      <c r="H510" s="117"/>
      <c r="I510" s="117"/>
      <c r="J510" s="117"/>
      <c r="K510" s="117"/>
    </row>
    <row r="511" spans="1:11" ht="15.75" x14ac:dyDescent="0.2">
      <c r="A511" s="117"/>
      <c r="B511" s="117"/>
      <c r="C511" s="117"/>
      <c r="D511" s="117"/>
      <c r="E511" s="117"/>
      <c r="F511" s="117"/>
      <c r="G511" s="117"/>
      <c r="H511" s="117"/>
      <c r="I511" s="117"/>
      <c r="J511" s="117"/>
      <c r="K511" s="117"/>
    </row>
    <row r="512" spans="1:11" ht="15.75" x14ac:dyDescent="0.2">
      <c r="A512" s="117"/>
      <c r="B512" s="117"/>
      <c r="C512" s="117"/>
      <c r="D512" s="117"/>
      <c r="E512" s="117"/>
      <c r="F512" s="117"/>
      <c r="G512" s="117"/>
      <c r="H512" s="117"/>
      <c r="I512" s="117"/>
      <c r="J512" s="117"/>
      <c r="K512" s="117"/>
    </row>
    <row r="513" spans="1:11" ht="15.75" x14ac:dyDescent="0.2">
      <c r="A513" s="117"/>
      <c r="B513" s="117"/>
      <c r="C513" s="117"/>
      <c r="D513" s="117"/>
      <c r="E513" s="117"/>
      <c r="F513" s="117"/>
      <c r="G513" s="117"/>
      <c r="H513" s="117"/>
      <c r="I513" s="117"/>
      <c r="J513" s="117"/>
      <c r="K513" s="117"/>
    </row>
    <row r="514" spans="1:11" ht="15.75" x14ac:dyDescent="0.2">
      <c r="A514" s="117"/>
      <c r="B514" s="117"/>
      <c r="C514" s="117"/>
      <c r="D514" s="117"/>
      <c r="E514" s="117"/>
      <c r="F514" s="117"/>
      <c r="G514" s="117"/>
      <c r="H514" s="117"/>
      <c r="I514" s="117"/>
      <c r="J514" s="117"/>
      <c r="K514" s="117"/>
    </row>
    <row r="515" spans="1:11" ht="15.75" x14ac:dyDescent="0.2">
      <c r="A515" s="117"/>
      <c r="B515" s="117"/>
      <c r="C515" s="117"/>
      <c r="D515" s="117"/>
      <c r="E515" s="117"/>
      <c r="F515" s="117"/>
      <c r="G515" s="117"/>
      <c r="H515" s="117"/>
      <c r="I515" s="117"/>
      <c r="J515" s="117"/>
      <c r="K515" s="117"/>
    </row>
    <row r="516" spans="1:11" ht="15.75" x14ac:dyDescent="0.2">
      <c r="A516" s="117"/>
      <c r="B516" s="117"/>
      <c r="C516" s="117"/>
      <c r="D516" s="117"/>
      <c r="E516" s="117"/>
      <c r="F516" s="117"/>
      <c r="G516" s="117"/>
      <c r="H516" s="117"/>
      <c r="I516" s="117"/>
      <c r="J516" s="117"/>
      <c r="K516" s="117"/>
    </row>
    <row r="517" spans="1:11" ht="15.75" x14ac:dyDescent="0.2">
      <c r="A517" s="117"/>
      <c r="B517" s="117"/>
      <c r="C517" s="117"/>
      <c r="D517" s="117"/>
      <c r="E517" s="117"/>
      <c r="F517" s="117"/>
      <c r="G517" s="117"/>
      <c r="H517" s="117"/>
      <c r="I517" s="117"/>
      <c r="J517" s="117"/>
      <c r="K517" s="117"/>
    </row>
    <row r="518" spans="1:11" ht="15.75" x14ac:dyDescent="0.2">
      <c r="A518" s="117"/>
      <c r="B518" s="117"/>
      <c r="C518" s="117"/>
      <c r="D518" s="117"/>
      <c r="E518" s="117"/>
      <c r="F518" s="117"/>
      <c r="G518" s="117"/>
      <c r="H518" s="117"/>
      <c r="I518" s="117"/>
      <c r="J518" s="117"/>
      <c r="K518" s="117"/>
    </row>
    <row r="519" spans="1:11" ht="15.75" x14ac:dyDescent="0.2">
      <c r="A519" s="117"/>
      <c r="B519" s="117"/>
      <c r="C519" s="117"/>
      <c r="D519" s="117"/>
      <c r="E519" s="117"/>
      <c r="F519" s="117"/>
      <c r="G519" s="117"/>
      <c r="H519" s="117"/>
      <c r="I519" s="117"/>
      <c r="J519" s="117"/>
      <c r="K519" s="117"/>
    </row>
    <row r="520" spans="1:11" ht="15.75" x14ac:dyDescent="0.2">
      <c r="A520" s="117"/>
      <c r="B520" s="117"/>
      <c r="C520" s="117"/>
      <c r="D520" s="117"/>
      <c r="E520" s="117"/>
      <c r="F520" s="117"/>
      <c r="G520" s="117"/>
      <c r="H520" s="117"/>
      <c r="I520" s="117"/>
      <c r="J520" s="117"/>
      <c r="K520" s="117"/>
    </row>
    <row r="521" spans="1:11" ht="15.75" x14ac:dyDescent="0.2">
      <c r="A521" s="117"/>
      <c r="B521" s="117"/>
      <c r="C521" s="117"/>
      <c r="D521" s="117"/>
      <c r="E521" s="117"/>
      <c r="F521" s="117"/>
      <c r="G521" s="117"/>
      <c r="H521" s="117"/>
      <c r="I521" s="117"/>
      <c r="J521" s="117"/>
      <c r="K521" s="117"/>
    </row>
    <row r="522" spans="1:11" ht="15.75" x14ac:dyDescent="0.2">
      <c r="A522" s="117"/>
      <c r="B522" s="117"/>
      <c r="C522" s="117"/>
      <c r="D522" s="117"/>
      <c r="E522" s="117"/>
      <c r="F522" s="117"/>
      <c r="G522" s="117"/>
      <c r="H522" s="117"/>
      <c r="I522" s="117"/>
      <c r="J522" s="117"/>
      <c r="K522" s="117"/>
    </row>
    <row r="523" spans="1:11" ht="15.75" x14ac:dyDescent="0.2">
      <c r="A523" s="117"/>
      <c r="B523" s="117"/>
      <c r="C523" s="117"/>
      <c r="D523" s="117"/>
      <c r="E523" s="117"/>
      <c r="F523" s="117"/>
      <c r="G523" s="117"/>
      <c r="H523" s="117"/>
      <c r="I523" s="117"/>
      <c r="J523" s="117"/>
      <c r="K523" s="117"/>
    </row>
    <row r="524" spans="1:11" ht="15.75" x14ac:dyDescent="0.2">
      <c r="A524" s="117"/>
      <c r="B524" s="117"/>
      <c r="C524" s="117"/>
      <c r="D524" s="117"/>
      <c r="E524" s="117"/>
      <c r="F524" s="117"/>
      <c r="G524" s="117"/>
      <c r="H524" s="117"/>
      <c r="I524" s="117"/>
      <c r="J524" s="117"/>
      <c r="K524" s="117"/>
    </row>
    <row r="525" spans="1:11" ht="15.75" x14ac:dyDescent="0.2">
      <c r="A525" s="117"/>
      <c r="B525" s="117"/>
      <c r="C525" s="117"/>
      <c r="D525" s="117"/>
      <c r="E525" s="117"/>
      <c r="F525" s="117"/>
      <c r="G525" s="117"/>
      <c r="H525" s="117"/>
      <c r="I525" s="117"/>
      <c r="J525" s="117"/>
      <c r="K525" s="117"/>
    </row>
    <row r="526" spans="1:11" ht="15.75" x14ac:dyDescent="0.2">
      <c r="A526" s="117"/>
      <c r="B526" s="117"/>
      <c r="C526" s="117"/>
      <c r="D526" s="117"/>
      <c r="E526" s="117"/>
      <c r="F526" s="117"/>
      <c r="G526" s="117"/>
      <c r="H526" s="117"/>
      <c r="I526" s="117"/>
      <c r="J526" s="117"/>
      <c r="K526" s="117"/>
    </row>
    <row r="527" spans="1:11" ht="15.75" x14ac:dyDescent="0.2">
      <c r="A527" s="117"/>
      <c r="B527" s="117"/>
      <c r="C527" s="117"/>
      <c r="D527" s="117"/>
      <c r="E527" s="117"/>
      <c r="F527" s="117"/>
      <c r="G527" s="117"/>
      <c r="H527" s="117"/>
      <c r="I527" s="117"/>
      <c r="J527" s="117"/>
      <c r="K527" s="117"/>
    </row>
    <row r="528" spans="1:11" ht="15.75" x14ac:dyDescent="0.2">
      <c r="A528" s="117"/>
      <c r="B528" s="117"/>
      <c r="C528" s="117"/>
      <c r="D528" s="117"/>
      <c r="E528" s="117"/>
      <c r="F528" s="117"/>
      <c r="G528" s="117"/>
      <c r="H528" s="117"/>
      <c r="I528" s="117"/>
      <c r="J528" s="117"/>
      <c r="K528" s="117"/>
    </row>
    <row r="529" spans="1:11" ht="15.75" x14ac:dyDescent="0.2">
      <c r="A529" s="117"/>
      <c r="B529" s="117"/>
      <c r="C529" s="117"/>
      <c r="D529" s="117"/>
      <c r="E529" s="117"/>
      <c r="F529" s="117"/>
      <c r="G529" s="117"/>
      <c r="H529" s="117"/>
      <c r="I529" s="117"/>
      <c r="J529" s="117"/>
      <c r="K529" s="117"/>
    </row>
    <row r="530" spans="1:11" ht="15.75" x14ac:dyDescent="0.2">
      <c r="A530" s="117"/>
      <c r="B530" s="117"/>
      <c r="C530" s="117"/>
      <c r="D530" s="117"/>
      <c r="E530" s="117"/>
      <c r="F530" s="117"/>
      <c r="G530" s="117"/>
      <c r="H530" s="117"/>
      <c r="I530" s="117"/>
      <c r="J530" s="117"/>
      <c r="K530" s="117"/>
    </row>
    <row r="531" spans="1:11" ht="15.75" x14ac:dyDescent="0.2">
      <c r="A531" s="117"/>
      <c r="B531" s="117"/>
      <c r="C531" s="117"/>
      <c r="D531" s="117"/>
      <c r="E531" s="117"/>
      <c r="F531" s="117"/>
      <c r="G531" s="117"/>
      <c r="H531" s="117"/>
      <c r="I531" s="117"/>
      <c r="J531" s="117"/>
      <c r="K531" s="117"/>
    </row>
    <row r="532" spans="1:11" ht="15.75" x14ac:dyDescent="0.2">
      <c r="A532" s="117"/>
      <c r="B532" s="117"/>
      <c r="C532" s="117"/>
      <c r="D532" s="117"/>
      <c r="E532" s="117"/>
      <c r="F532" s="117"/>
      <c r="G532" s="117"/>
      <c r="H532" s="117"/>
      <c r="I532" s="117"/>
      <c r="J532" s="117"/>
      <c r="K532" s="117"/>
    </row>
    <row r="533" spans="1:11" ht="15.75" x14ac:dyDescent="0.2">
      <c r="A533" s="117"/>
      <c r="B533" s="117"/>
      <c r="C533" s="117"/>
      <c r="D533" s="117"/>
      <c r="E533" s="117"/>
      <c r="F533" s="117"/>
      <c r="G533" s="117"/>
      <c r="H533" s="117"/>
      <c r="I533" s="117"/>
      <c r="J533" s="117"/>
      <c r="K533" s="117"/>
    </row>
    <row r="534" spans="1:11" ht="15.75" x14ac:dyDescent="0.2">
      <c r="A534" s="117"/>
      <c r="B534" s="117"/>
      <c r="C534" s="117"/>
      <c r="D534" s="117"/>
      <c r="E534" s="117"/>
      <c r="F534" s="117"/>
      <c r="G534" s="117"/>
      <c r="H534" s="117"/>
      <c r="I534" s="117"/>
      <c r="J534" s="117"/>
      <c r="K534" s="117"/>
    </row>
    <row r="535" spans="1:11" ht="15.75" x14ac:dyDescent="0.2">
      <c r="A535" s="117"/>
      <c r="B535" s="117"/>
      <c r="C535" s="117"/>
      <c r="D535" s="117"/>
      <c r="E535" s="117"/>
      <c r="F535" s="117"/>
      <c r="G535" s="117"/>
      <c r="H535" s="117"/>
      <c r="I535" s="117"/>
      <c r="J535" s="117"/>
      <c r="K535" s="117"/>
    </row>
    <row r="536" spans="1:11" ht="15.75" x14ac:dyDescent="0.2">
      <c r="A536" s="117"/>
      <c r="B536" s="117"/>
      <c r="C536" s="117"/>
      <c r="D536" s="117"/>
      <c r="E536" s="117"/>
      <c r="F536" s="117"/>
      <c r="G536" s="117"/>
      <c r="H536" s="117"/>
      <c r="I536" s="117"/>
      <c r="J536" s="117"/>
      <c r="K536" s="117"/>
    </row>
    <row r="537" spans="1:11" ht="15.75" x14ac:dyDescent="0.2">
      <c r="A537" s="117"/>
      <c r="B537" s="117"/>
      <c r="C537" s="117"/>
      <c r="D537" s="117"/>
      <c r="E537" s="117"/>
      <c r="F537" s="117"/>
      <c r="G537" s="117"/>
      <c r="H537" s="117"/>
      <c r="I537" s="117"/>
      <c r="J537" s="117"/>
      <c r="K537" s="117"/>
    </row>
    <row r="538" spans="1:11" ht="15.75" x14ac:dyDescent="0.2">
      <c r="A538" s="117"/>
      <c r="B538" s="117"/>
      <c r="C538" s="117"/>
      <c r="D538" s="117"/>
      <c r="E538" s="117"/>
      <c r="F538" s="117"/>
      <c r="G538" s="117"/>
      <c r="H538" s="117"/>
      <c r="I538" s="117"/>
      <c r="J538" s="117"/>
      <c r="K538" s="117"/>
    </row>
    <row r="539" spans="1:11" ht="15.75" x14ac:dyDescent="0.2">
      <c r="A539" s="117"/>
      <c r="B539" s="117"/>
      <c r="C539" s="117"/>
      <c r="D539" s="117"/>
      <c r="E539" s="117"/>
      <c r="F539" s="117"/>
      <c r="G539" s="117"/>
      <c r="H539" s="117"/>
      <c r="I539" s="117"/>
      <c r="J539" s="117"/>
      <c r="K539" s="117"/>
    </row>
    <row r="540" spans="1:11" ht="15.75" x14ac:dyDescent="0.2">
      <c r="A540" s="117"/>
      <c r="B540" s="117"/>
      <c r="C540" s="117"/>
      <c r="D540" s="117"/>
      <c r="E540" s="117"/>
      <c r="F540" s="117"/>
      <c r="G540" s="117"/>
      <c r="H540" s="117"/>
      <c r="I540" s="117"/>
      <c r="J540" s="117"/>
      <c r="K540" s="117"/>
    </row>
    <row r="541" spans="1:11" ht="15.75" x14ac:dyDescent="0.2">
      <c r="A541" s="117"/>
      <c r="B541" s="117"/>
      <c r="C541" s="117"/>
      <c r="D541" s="117"/>
      <c r="E541" s="117"/>
      <c r="F541" s="117"/>
      <c r="G541" s="117"/>
      <c r="H541" s="117"/>
      <c r="I541" s="117"/>
      <c r="J541" s="117"/>
      <c r="K541" s="117"/>
    </row>
    <row r="542" spans="1:11" ht="15.75" x14ac:dyDescent="0.2">
      <c r="A542" s="117"/>
      <c r="B542" s="117"/>
      <c r="C542" s="117"/>
      <c r="D542" s="117"/>
      <c r="E542" s="117"/>
      <c r="F542" s="117"/>
      <c r="G542" s="117"/>
      <c r="H542" s="117"/>
      <c r="I542" s="117"/>
      <c r="J542" s="117"/>
      <c r="K542" s="117"/>
    </row>
    <row r="543" spans="1:11" ht="15.75" x14ac:dyDescent="0.2">
      <c r="A543" s="117"/>
      <c r="B543" s="117"/>
      <c r="C543" s="117"/>
      <c r="D543" s="117"/>
      <c r="E543" s="117"/>
      <c r="F543" s="117"/>
      <c r="G543" s="117"/>
      <c r="H543" s="117"/>
      <c r="I543" s="117"/>
      <c r="J543" s="117"/>
      <c r="K543" s="117"/>
    </row>
    <row r="544" spans="1:11" ht="15.75" x14ac:dyDescent="0.2">
      <c r="A544" s="117"/>
      <c r="B544" s="117"/>
      <c r="C544" s="117"/>
      <c r="D544" s="117"/>
      <c r="E544" s="117"/>
      <c r="F544" s="117"/>
      <c r="G544" s="117"/>
      <c r="H544" s="117"/>
      <c r="I544" s="117"/>
      <c r="J544" s="117"/>
      <c r="K544" s="117"/>
    </row>
    <row r="545" spans="1:11" ht="15.75" x14ac:dyDescent="0.2">
      <c r="A545" s="117"/>
      <c r="B545" s="117"/>
      <c r="C545" s="117"/>
      <c r="D545" s="117"/>
      <c r="E545" s="117"/>
      <c r="F545" s="117"/>
      <c r="G545" s="117"/>
      <c r="H545" s="117"/>
      <c r="I545" s="117"/>
      <c r="J545" s="117"/>
      <c r="K545" s="117"/>
    </row>
    <row r="546" spans="1:11" ht="15.75" x14ac:dyDescent="0.2">
      <c r="A546" s="117"/>
      <c r="B546" s="117"/>
      <c r="C546" s="117"/>
      <c r="D546" s="117"/>
      <c r="E546" s="117"/>
      <c r="F546" s="117"/>
      <c r="G546" s="117"/>
      <c r="H546" s="117"/>
      <c r="I546" s="117"/>
      <c r="J546" s="117"/>
      <c r="K546" s="117"/>
    </row>
    <row r="547" spans="1:11" ht="15.75" x14ac:dyDescent="0.2">
      <c r="A547" s="117"/>
      <c r="B547" s="117"/>
      <c r="C547" s="117"/>
      <c r="D547" s="117"/>
      <c r="E547" s="117"/>
      <c r="F547" s="117"/>
      <c r="G547" s="117"/>
      <c r="H547" s="117"/>
      <c r="I547" s="117"/>
      <c r="J547" s="117"/>
      <c r="K547" s="117"/>
    </row>
    <row r="548" spans="1:11" ht="15.75" x14ac:dyDescent="0.2">
      <c r="A548" s="117"/>
      <c r="B548" s="117"/>
      <c r="C548" s="117"/>
      <c r="D548" s="117"/>
      <c r="E548" s="117"/>
      <c r="F548" s="117"/>
      <c r="G548" s="117"/>
      <c r="H548" s="117"/>
      <c r="I548" s="117"/>
      <c r="J548" s="117"/>
      <c r="K548" s="117"/>
    </row>
    <row r="549" spans="1:11" ht="15.75" x14ac:dyDescent="0.2">
      <c r="A549" s="117"/>
      <c r="B549" s="117"/>
      <c r="C549" s="117"/>
      <c r="D549" s="117"/>
      <c r="E549" s="117"/>
      <c r="F549" s="117"/>
      <c r="G549" s="117"/>
      <c r="H549" s="117"/>
      <c r="I549" s="117"/>
      <c r="J549" s="117"/>
      <c r="K549" s="117"/>
    </row>
    <row r="550" spans="1:11" ht="15.75" x14ac:dyDescent="0.2">
      <c r="A550" s="117"/>
      <c r="B550" s="117"/>
      <c r="C550" s="117"/>
      <c r="D550" s="117"/>
      <c r="E550" s="117"/>
      <c r="F550" s="117"/>
      <c r="G550" s="117"/>
      <c r="H550" s="117"/>
      <c r="I550" s="117"/>
      <c r="J550" s="117"/>
      <c r="K550" s="117"/>
    </row>
    <row r="551" spans="1:11" ht="15.75" x14ac:dyDescent="0.2">
      <c r="A551" s="117"/>
      <c r="B551" s="117"/>
      <c r="C551" s="117"/>
      <c r="D551" s="117"/>
      <c r="E551" s="117"/>
      <c r="F551" s="117"/>
      <c r="G551" s="117"/>
      <c r="H551" s="117"/>
      <c r="I551" s="117"/>
      <c r="J551" s="117"/>
      <c r="K551" s="117"/>
    </row>
    <row r="552" spans="1:11" ht="15.75" x14ac:dyDescent="0.2">
      <c r="A552" s="117"/>
      <c r="B552" s="117"/>
      <c r="C552" s="117"/>
      <c r="D552" s="117"/>
      <c r="E552" s="117"/>
      <c r="F552" s="117"/>
      <c r="G552" s="117"/>
      <c r="H552" s="117"/>
      <c r="I552" s="117"/>
      <c r="J552" s="117"/>
      <c r="K552" s="117"/>
    </row>
    <row r="553" spans="1:11" ht="15.75" x14ac:dyDescent="0.2">
      <c r="A553" s="117"/>
      <c r="B553" s="117"/>
      <c r="C553" s="117"/>
      <c r="D553" s="117"/>
      <c r="E553" s="117"/>
      <c r="F553" s="117"/>
      <c r="G553" s="117"/>
      <c r="H553" s="117"/>
      <c r="I553" s="117"/>
      <c r="J553" s="117"/>
      <c r="K553" s="117"/>
    </row>
    <row r="554" spans="1:11" ht="15.75" x14ac:dyDescent="0.2">
      <c r="A554" s="117"/>
      <c r="B554" s="117"/>
      <c r="C554" s="117"/>
      <c r="D554" s="117"/>
      <c r="E554" s="117"/>
      <c r="F554" s="117"/>
      <c r="G554" s="117"/>
      <c r="H554" s="117"/>
      <c r="I554" s="117"/>
      <c r="J554" s="117"/>
      <c r="K554" s="117"/>
    </row>
    <row r="555" spans="1:11" ht="15.75" x14ac:dyDescent="0.2">
      <c r="A555" s="117"/>
      <c r="B555" s="117"/>
      <c r="C555" s="117"/>
      <c r="D555" s="117"/>
      <c r="E555" s="117"/>
      <c r="F555" s="117"/>
      <c r="G555" s="117"/>
      <c r="H555" s="117"/>
      <c r="I555" s="117"/>
      <c r="J555" s="117"/>
      <c r="K555" s="117"/>
    </row>
    <row r="556" spans="1:11" ht="15.75" x14ac:dyDescent="0.2">
      <c r="A556" s="117"/>
      <c r="B556" s="117"/>
      <c r="C556" s="117"/>
      <c r="D556" s="117"/>
      <c r="E556" s="117"/>
      <c r="F556" s="117"/>
      <c r="G556" s="117"/>
      <c r="H556" s="117"/>
      <c r="I556" s="117"/>
      <c r="J556" s="117"/>
      <c r="K556" s="117"/>
    </row>
    <row r="557" spans="1:11" ht="15.75" x14ac:dyDescent="0.2">
      <c r="A557" s="117"/>
      <c r="B557" s="117"/>
      <c r="C557" s="117"/>
      <c r="D557" s="117"/>
      <c r="E557" s="117"/>
      <c r="F557" s="117"/>
      <c r="G557" s="117"/>
      <c r="H557" s="117"/>
      <c r="I557" s="117"/>
      <c r="J557" s="117"/>
      <c r="K557" s="117"/>
    </row>
    <row r="558" spans="1:11" ht="15.75" x14ac:dyDescent="0.2">
      <c r="A558" s="117"/>
      <c r="B558" s="117"/>
      <c r="C558" s="117"/>
      <c r="D558" s="117"/>
      <c r="E558" s="117"/>
      <c r="F558" s="117"/>
      <c r="G558" s="117"/>
      <c r="H558" s="117"/>
      <c r="I558" s="117"/>
      <c r="J558" s="117"/>
      <c r="K558" s="117"/>
    </row>
    <row r="559" spans="1:11" ht="15.75" x14ac:dyDescent="0.2">
      <c r="A559" s="117"/>
      <c r="B559" s="117"/>
      <c r="C559" s="117"/>
      <c r="D559" s="117"/>
      <c r="E559" s="117"/>
      <c r="F559" s="117"/>
      <c r="G559" s="117"/>
      <c r="H559" s="117"/>
      <c r="I559" s="117"/>
      <c r="J559" s="117"/>
      <c r="K559" s="117"/>
    </row>
    <row r="560" spans="1:11" ht="15.75" x14ac:dyDescent="0.2">
      <c r="A560" s="117"/>
      <c r="B560" s="117"/>
      <c r="C560" s="117"/>
      <c r="D560" s="117"/>
      <c r="E560" s="117"/>
      <c r="F560" s="117"/>
      <c r="G560" s="117"/>
      <c r="H560" s="117"/>
      <c r="I560" s="117"/>
      <c r="J560" s="117"/>
      <c r="K560" s="117"/>
    </row>
    <row r="561" spans="1:11" ht="15.75" x14ac:dyDescent="0.2">
      <c r="A561" s="117"/>
      <c r="B561" s="117"/>
      <c r="C561" s="117"/>
      <c r="D561" s="117"/>
      <c r="E561" s="117"/>
      <c r="F561" s="117"/>
      <c r="G561" s="117"/>
      <c r="H561" s="117"/>
      <c r="I561" s="117"/>
      <c r="J561" s="117"/>
      <c r="K561" s="117"/>
    </row>
    <row r="562" spans="1:11" ht="15.75" x14ac:dyDescent="0.2">
      <c r="A562" s="117"/>
      <c r="B562" s="117"/>
      <c r="C562" s="117"/>
      <c r="D562" s="117"/>
      <c r="E562" s="117"/>
      <c r="F562" s="117"/>
      <c r="G562" s="117"/>
      <c r="H562" s="117"/>
      <c r="I562" s="117"/>
      <c r="J562" s="117"/>
      <c r="K562" s="117"/>
    </row>
    <row r="563" spans="1:11" ht="15.75" x14ac:dyDescent="0.2">
      <c r="A563" s="117"/>
      <c r="B563" s="117"/>
      <c r="C563" s="117"/>
      <c r="D563" s="117"/>
      <c r="E563" s="117"/>
      <c r="F563" s="117"/>
      <c r="G563" s="117"/>
      <c r="H563" s="117"/>
      <c r="I563" s="117"/>
      <c r="J563" s="117"/>
      <c r="K563" s="117"/>
    </row>
    <row r="564" spans="1:11" ht="15.75" x14ac:dyDescent="0.2">
      <c r="A564" s="117"/>
      <c r="B564" s="117"/>
      <c r="C564" s="117"/>
      <c r="D564" s="117"/>
      <c r="E564" s="117"/>
      <c r="F564" s="117"/>
      <c r="G564" s="117"/>
      <c r="H564" s="117"/>
      <c r="I564" s="117"/>
      <c r="J564" s="117"/>
      <c r="K564" s="117"/>
    </row>
    <row r="565" spans="1:11" ht="15.75" x14ac:dyDescent="0.2">
      <c r="A565" s="117"/>
      <c r="B565" s="117"/>
      <c r="C565" s="117"/>
      <c r="D565" s="117"/>
      <c r="E565" s="117"/>
      <c r="F565" s="117"/>
      <c r="G565" s="117"/>
      <c r="H565" s="117"/>
      <c r="I565" s="117"/>
      <c r="J565" s="117"/>
      <c r="K565" s="117"/>
    </row>
    <row r="566" spans="1:11" ht="15.75" x14ac:dyDescent="0.2">
      <c r="A566" s="117"/>
      <c r="B566" s="117"/>
      <c r="C566" s="117"/>
      <c r="D566" s="117"/>
      <c r="E566" s="117"/>
      <c r="F566" s="117"/>
      <c r="G566" s="117"/>
      <c r="H566" s="117"/>
      <c r="I566" s="117"/>
      <c r="J566" s="117"/>
      <c r="K566" s="117"/>
    </row>
    <row r="567" spans="1:11" ht="15.75" x14ac:dyDescent="0.2">
      <c r="A567" s="117"/>
      <c r="B567" s="117"/>
      <c r="C567" s="117"/>
      <c r="D567" s="117"/>
      <c r="E567" s="117"/>
      <c r="F567" s="117"/>
      <c r="G567" s="117"/>
      <c r="H567" s="117"/>
      <c r="I567" s="117"/>
      <c r="J567" s="117"/>
      <c r="K567" s="117"/>
    </row>
    <row r="568" spans="1:11" ht="15.75" x14ac:dyDescent="0.2">
      <c r="A568" s="117"/>
      <c r="B568" s="117"/>
      <c r="C568" s="117"/>
      <c r="D568" s="117"/>
      <c r="E568" s="117"/>
      <c r="F568" s="117"/>
      <c r="G568" s="117"/>
      <c r="H568" s="117"/>
      <c r="I568" s="117"/>
      <c r="J568" s="117"/>
      <c r="K568" s="117"/>
    </row>
    <row r="569" spans="1:11" ht="15.75" x14ac:dyDescent="0.2">
      <c r="A569" s="117"/>
      <c r="B569" s="117"/>
      <c r="C569" s="117"/>
      <c r="D569" s="117"/>
      <c r="E569" s="117"/>
      <c r="F569" s="117"/>
      <c r="G569" s="117"/>
      <c r="H569" s="117"/>
      <c r="I569" s="117"/>
      <c r="J569" s="117"/>
      <c r="K569" s="117"/>
    </row>
    <row r="570" spans="1:11" ht="15.75" x14ac:dyDescent="0.2">
      <c r="A570" s="117"/>
      <c r="B570" s="117"/>
      <c r="C570" s="117"/>
      <c r="D570" s="117"/>
      <c r="E570" s="117"/>
      <c r="F570" s="117"/>
      <c r="G570" s="117"/>
      <c r="H570" s="117"/>
      <c r="I570" s="117"/>
      <c r="J570" s="117"/>
      <c r="K570" s="117"/>
    </row>
    <row r="571" spans="1:11" ht="15.75" x14ac:dyDescent="0.2">
      <c r="A571" s="117"/>
      <c r="B571" s="117"/>
      <c r="C571" s="117"/>
      <c r="D571" s="117"/>
      <c r="E571" s="117"/>
      <c r="F571" s="117"/>
      <c r="G571" s="117"/>
      <c r="H571" s="117"/>
      <c r="I571" s="117"/>
      <c r="J571" s="117"/>
      <c r="K571" s="117"/>
    </row>
    <row r="572" spans="1:11" ht="15.75" x14ac:dyDescent="0.2">
      <c r="A572" s="117"/>
      <c r="B572" s="117"/>
      <c r="C572" s="117"/>
      <c r="D572" s="117"/>
      <c r="E572" s="117"/>
      <c r="F572" s="117"/>
      <c r="G572" s="117"/>
      <c r="H572" s="117"/>
      <c r="I572" s="117"/>
      <c r="J572" s="117"/>
      <c r="K572" s="117"/>
    </row>
    <row r="573" spans="1:11" ht="15.75" x14ac:dyDescent="0.2">
      <c r="A573" s="117"/>
      <c r="B573" s="117"/>
      <c r="C573" s="117"/>
      <c r="D573" s="117"/>
      <c r="E573" s="117"/>
      <c r="F573" s="117"/>
      <c r="G573" s="117"/>
      <c r="H573" s="117"/>
      <c r="I573" s="117"/>
      <c r="J573" s="117"/>
      <c r="K573" s="117"/>
    </row>
    <row r="574" spans="1:11" ht="15.75" x14ac:dyDescent="0.2">
      <c r="A574" s="117"/>
      <c r="B574" s="117"/>
      <c r="C574" s="117"/>
      <c r="D574" s="117"/>
      <c r="E574" s="117"/>
      <c r="F574" s="117"/>
      <c r="G574" s="117"/>
      <c r="H574" s="117"/>
      <c r="I574" s="117"/>
      <c r="J574" s="117"/>
      <c r="K574" s="117"/>
    </row>
    <row r="575" spans="1:11" ht="15.75" x14ac:dyDescent="0.2">
      <c r="A575" s="117"/>
      <c r="B575" s="117"/>
      <c r="C575" s="117"/>
      <c r="D575" s="117"/>
      <c r="E575" s="117"/>
      <c r="F575" s="117"/>
      <c r="G575" s="117"/>
      <c r="H575" s="117"/>
      <c r="I575" s="117"/>
      <c r="J575" s="117"/>
      <c r="K575" s="117"/>
    </row>
    <row r="576" spans="1:11" ht="15.75" x14ac:dyDescent="0.2">
      <c r="A576" s="117"/>
      <c r="B576" s="117"/>
      <c r="C576" s="117"/>
      <c r="D576" s="117"/>
      <c r="E576" s="117"/>
      <c r="F576" s="117"/>
      <c r="G576" s="117"/>
      <c r="H576" s="117"/>
      <c r="I576" s="117"/>
      <c r="J576" s="117"/>
      <c r="K576" s="117"/>
    </row>
    <row r="577" spans="1:11" ht="15.75" x14ac:dyDescent="0.2">
      <c r="A577" s="117"/>
      <c r="B577" s="117"/>
      <c r="C577" s="117"/>
      <c r="D577" s="117"/>
      <c r="E577" s="117"/>
      <c r="F577" s="117"/>
      <c r="G577" s="117"/>
      <c r="H577" s="117"/>
      <c r="I577" s="117"/>
      <c r="J577" s="117"/>
      <c r="K577" s="117"/>
    </row>
    <row r="578" spans="1:11" ht="15.75" x14ac:dyDescent="0.2">
      <c r="A578" s="117"/>
      <c r="B578" s="117"/>
      <c r="C578" s="117"/>
      <c r="D578" s="117"/>
      <c r="E578" s="117"/>
      <c r="F578" s="117"/>
      <c r="G578" s="117"/>
      <c r="H578" s="117"/>
      <c r="I578" s="117"/>
      <c r="J578" s="117"/>
      <c r="K578" s="117"/>
    </row>
    <row r="579" spans="1:11" ht="15.75" x14ac:dyDescent="0.2">
      <c r="A579" s="117"/>
      <c r="B579" s="117"/>
      <c r="C579" s="117"/>
      <c r="D579" s="117"/>
      <c r="E579" s="117"/>
      <c r="F579" s="117"/>
      <c r="G579" s="117"/>
      <c r="H579" s="117"/>
      <c r="I579" s="117"/>
      <c r="J579" s="117"/>
      <c r="K579" s="117"/>
    </row>
    <row r="580" spans="1:11" ht="15.75" x14ac:dyDescent="0.2">
      <c r="A580" s="117"/>
      <c r="B580" s="117"/>
      <c r="C580" s="117"/>
      <c r="D580" s="117"/>
      <c r="E580" s="117"/>
      <c r="F580" s="117"/>
      <c r="G580" s="117"/>
      <c r="H580" s="117"/>
      <c r="I580" s="117"/>
      <c r="J580" s="117"/>
      <c r="K580" s="117"/>
    </row>
    <row r="581" spans="1:11" ht="15.75" x14ac:dyDescent="0.2">
      <c r="A581" s="117"/>
      <c r="B581" s="117"/>
      <c r="C581" s="117"/>
      <c r="D581" s="117"/>
      <c r="E581" s="117"/>
      <c r="F581" s="117"/>
      <c r="G581" s="117"/>
      <c r="H581" s="117"/>
      <c r="I581" s="117"/>
      <c r="J581" s="117"/>
      <c r="K581" s="117"/>
    </row>
    <row r="582" spans="1:11" ht="15.75" x14ac:dyDescent="0.2">
      <c r="A582" s="117"/>
      <c r="B582" s="117"/>
      <c r="C582" s="117"/>
      <c r="D582" s="117"/>
      <c r="E582" s="117"/>
      <c r="F582" s="117"/>
      <c r="G582" s="117"/>
      <c r="H582" s="117"/>
      <c r="I582" s="117"/>
      <c r="J582" s="117"/>
      <c r="K582" s="117"/>
    </row>
    <row r="583" spans="1:11" ht="15.75" x14ac:dyDescent="0.2">
      <c r="A583" s="117"/>
      <c r="B583" s="117"/>
      <c r="C583" s="117"/>
      <c r="D583" s="117"/>
      <c r="E583" s="117"/>
      <c r="F583" s="117"/>
      <c r="G583" s="117"/>
      <c r="H583" s="117"/>
      <c r="I583" s="117"/>
      <c r="J583" s="117"/>
      <c r="K583" s="117"/>
    </row>
    <row r="584" spans="1:11" ht="15.75" x14ac:dyDescent="0.2">
      <c r="A584" s="117"/>
      <c r="B584" s="117"/>
      <c r="C584" s="117"/>
      <c r="D584" s="117"/>
      <c r="E584" s="117"/>
      <c r="F584" s="117"/>
      <c r="G584" s="117"/>
      <c r="H584" s="117"/>
      <c r="I584" s="117"/>
      <c r="J584" s="117"/>
      <c r="K584" s="117"/>
    </row>
    <row r="585" spans="1:11" ht="15.75" x14ac:dyDescent="0.2">
      <c r="A585" s="117"/>
      <c r="B585" s="117"/>
      <c r="C585" s="117"/>
      <c r="D585" s="117"/>
      <c r="E585" s="117"/>
      <c r="F585" s="117"/>
      <c r="G585" s="117"/>
      <c r="H585" s="117"/>
      <c r="I585" s="117"/>
      <c r="J585" s="117"/>
      <c r="K585" s="117"/>
    </row>
    <row r="586" spans="1:11" ht="15.75" x14ac:dyDescent="0.2">
      <c r="A586" s="117"/>
      <c r="B586" s="117"/>
      <c r="C586" s="117"/>
      <c r="D586" s="117"/>
      <c r="E586" s="117"/>
      <c r="F586" s="117"/>
      <c r="G586" s="117"/>
      <c r="H586" s="117"/>
      <c r="I586" s="117"/>
      <c r="J586" s="117"/>
      <c r="K586" s="117"/>
    </row>
    <row r="587" spans="1:11" ht="15.75" x14ac:dyDescent="0.2">
      <c r="A587" s="117"/>
      <c r="B587" s="117"/>
      <c r="C587" s="117"/>
      <c r="D587" s="117"/>
      <c r="E587" s="117"/>
      <c r="F587" s="117"/>
      <c r="G587" s="117"/>
      <c r="H587" s="117"/>
      <c r="I587" s="117"/>
      <c r="J587" s="117"/>
      <c r="K587" s="117"/>
    </row>
    <row r="588" spans="1:11" ht="15.75" x14ac:dyDescent="0.2">
      <c r="A588" s="117"/>
      <c r="B588" s="117"/>
      <c r="C588" s="117"/>
      <c r="D588" s="117"/>
      <c r="E588" s="117"/>
      <c r="F588" s="117"/>
      <c r="G588" s="117"/>
      <c r="H588" s="117"/>
      <c r="I588" s="117"/>
      <c r="J588" s="117"/>
      <c r="K588" s="117"/>
    </row>
    <row r="589" spans="1:11" ht="15.75" x14ac:dyDescent="0.2">
      <c r="A589" s="117"/>
      <c r="B589" s="117"/>
      <c r="C589" s="117"/>
      <c r="D589" s="117"/>
      <c r="E589" s="117"/>
      <c r="F589" s="117"/>
      <c r="G589" s="117"/>
      <c r="H589" s="117"/>
      <c r="I589" s="117"/>
      <c r="J589" s="117"/>
      <c r="K589" s="117"/>
    </row>
    <row r="590" spans="1:11" ht="15.75" x14ac:dyDescent="0.2">
      <c r="A590" s="117"/>
      <c r="B590" s="117"/>
      <c r="C590" s="117"/>
      <c r="D590" s="117"/>
      <c r="E590" s="117"/>
      <c r="F590" s="117"/>
      <c r="G590" s="117"/>
      <c r="H590" s="117"/>
      <c r="I590" s="117"/>
      <c r="J590" s="117"/>
      <c r="K590" s="117"/>
    </row>
    <row r="591" spans="1:11" ht="15.75" x14ac:dyDescent="0.2">
      <c r="A591" s="117"/>
      <c r="B591" s="117"/>
      <c r="C591" s="117"/>
      <c r="D591" s="117"/>
      <c r="E591" s="117"/>
      <c r="F591" s="117"/>
      <c r="G591" s="117"/>
      <c r="H591" s="117"/>
      <c r="I591" s="117"/>
      <c r="J591" s="117"/>
      <c r="K591" s="117"/>
    </row>
    <row r="592" spans="1:11" ht="15.75" x14ac:dyDescent="0.2">
      <c r="A592" s="117"/>
      <c r="B592" s="117"/>
      <c r="C592" s="117"/>
      <c r="D592" s="117"/>
      <c r="E592" s="117"/>
      <c r="F592" s="117"/>
      <c r="G592" s="117"/>
      <c r="H592" s="117"/>
      <c r="I592" s="117"/>
      <c r="J592" s="117"/>
      <c r="K592" s="117"/>
    </row>
    <row r="593" spans="1:11" ht="15.75" x14ac:dyDescent="0.2">
      <c r="A593" s="117"/>
      <c r="B593" s="117"/>
      <c r="C593" s="117"/>
      <c r="D593" s="117"/>
      <c r="E593" s="117"/>
      <c r="F593" s="117"/>
      <c r="G593" s="117"/>
      <c r="H593" s="117"/>
      <c r="I593" s="117"/>
      <c r="J593" s="117"/>
      <c r="K593" s="117"/>
    </row>
    <row r="594" spans="1:11" ht="15.75" x14ac:dyDescent="0.2">
      <c r="A594" s="117"/>
      <c r="B594" s="117"/>
      <c r="C594" s="117"/>
      <c r="D594" s="117"/>
      <c r="E594" s="117"/>
      <c r="F594" s="117"/>
      <c r="G594" s="117"/>
      <c r="H594" s="117"/>
      <c r="I594" s="117"/>
      <c r="J594" s="117"/>
      <c r="K594" s="117"/>
    </row>
    <row r="595" spans="1:11" ht="15.75" x14ac:dyDescent="0.2">
      <c r="A595" s="117"/>
      <c r="B595" s="117"/>
      <c r="C595" s="117"/>
      <c r="D595" s="117"/>
      <c r="E595" s="117"/>
      <c r="F595" s="117"/>
      <c r="G595" s="117"/>
      <c r="H595" s="117"/>
      <c r="I595" s="117"/>
      <c r="J595" s="117"/>
      <c r="K595" s="117"/>
    </row>
    <row r="596" spans="1:11" ht="15.75" x14ac:dyDescent="0.2">
      <c r="A596" s="117"/>
      <c r="B596" s="117"/>
      <c r="C596" s="117"/>
      <c r="D596" s="117"/>
      <c r="E596" s="117"/>
      <c r="F596" s="117"/>
      <c r="G596" s="117"/>
      <c r="H596" s="117"/>
      <c r="I596" s="117"/>
      <c r="J596" s="117"/>
      <c r="K596" s="117"/>
    </row>
    <row r="597" spans="1:11" ht="15.75" x14ac:dyDescent="0.2">
      <c r="A597" s="117"/>
      <c r="B597" s="117"/>
      <c r="C597" s="117"/>
      <c r="D597" s="117"/>
      <c r="E597" s="117"/>
      <c r="F597" s="117"/>
      <c r="G597" s="117"/>
      <c r="H597" s="117"/>
      <c r="I597" s="117"/>
      <c r="J597" s="117"/>
      <c r="K597" s="117"/>
    </row>
    <row r="598" spans="1:11" ht="15.75" x14ac:dyDescent="0.2">
      <c r="A598" s="117"/>
      <c r="B598" s="117"/>
      <c r="C598" s="117"/>
      <c r="D598" s="117"/>
      <c r="E598" s="117"/>
      <c r="F598" s="117"/>
      <c r="G598" s="117"/>
      <c r="H598" s="117"/>
      <c r="I598" s="117"/>
      <c r="J598" s="117"/>
      <c r="K598" s="117"/>
    </row>
    <row r="599" spans="1:11" ht="15.75" x14ac:dyDescent="0.2">
      <c r="A599" s="117"/>
      <c r="B599" s="117"/>
      <c r="C599" s="117"/>
      <c r="D599" s="117"/>
      <c r="E599" s="117"/>
      <c r="F599" s="117"/>
      <c r="G599" s="117"/>
      <c r="H599" s="117"/>
      <c r="I599" s="117"/>
      <c r="J599" s="117"/>
      <c r="K599" s="117"/>
    </row>
    <row r="600" spans="1:11" ht="15.75" x14ac:dyDescent="0.2">
      <c r="A600" s="117"/>
      <c r="B600" s="117"/>
      <c r="C600" s="117"/>
      <c r="D600" s="117"/>
      <c r="E600" s="117"/>
      <c r="F600" s="117"/>
      <c r="G600" s="117"/>
      <c r="H600" s="117"/>
      <c r="I600" s="117"/>
      <c r="J600" s="117"/>
      <c r="K600" s="117"/>
    </row>
    <row r="601" spans="1:11" ht="15.75" x14ac:dyDescent="0.2">
      <c r="A601" s="117"/>
      <c r="B601" s="117"/>
      <c r="C601" s="117"/>
      <c r="D601" s="117"/>
      <c r="E601" s="117"/>
      <c r="F601" s="117"/>
      <c r="G601" s="117"/>
      <c r="H601" s="117"/>
      <c r="I601" s="117"/>
      <c r="J601" s="117"/>
      <c r="K601" s="117"/>
    </row>
    <row r="602" spans="1:11" ht="15.75" x14ac:dyDescent="0.2">
      <c r="A602" s="117"/>
      <c r="B602" s="117"/>
      <c r="C602" s="117"/>
      <c r="D602" s="117"/>
      <c r="E602" s="117"/>
      <c r="F602" s="117"/>
      <c r="G602" s="117"/>
      <c r="H602" s="117"/>
      <c r="I602" s="117"/>
      <c r="J602" s="117"/>
      <c r="K602" s="117"/>
    </row>
    <row r="603" spans="1:11" ht="15.75" x14ac:dyDescent="0.2">
      <c r="A603" s="117"/>
      <c r="B603" s="117"/>
      <c r="C603" s="117"/>
      <c r="D603" s="117"/>
      <c r="E603" s="117"/>
      <c r="F603" s="117"/>
      <c r="G603" s="117"/>
      <c r="H603" s="117"/>
      <c r="I603" s="117"/>
      <c r="J603" s="117"/>
      <c r="K603" s="117"/>
    </row>
    <row r="604" spans="1:11" ht="15.75" x14ac:dyDescent="0.2">
      <c r="A604" s="117"/>
      <c r="B604" s="117"/>
      <c r="C604" s="117"/>
      <c r="D604" s="117"/>
      <c r="E604" s="117"/>
      <c r="F604" s="117"/>
      <c r="G604" s="117"/>
      <c r="H604" s="117"/>
      <c r="I604" s="117"/>
      <c r="J604" s="117"/>
      <c r="K604" s="117"/>
    </row>
    <row r="605" spans="1:11" ht="15.75" x14ac:dyDescent="0.2">
      <c r="A605" s="117"/>
      <c r="B605" s="117"/>
      <c r="C605" s="117"/>
      <c r="D605" s="117"/>
      <c r="E605" s="117"/>
      <c r="F605" s="117"/>
      <c r="G605" s="117"/>
      <c r="H605" s="117"/>
      <c r="I605" s="117"/>
      <c r="J605" s="117"/>
      <c r="K605" s="117"/>
    </row>
    <row r="606" spans="1:11" ht="15.75" x14ac:dyDescent="0.2">
      <c r="A606" s="117"/>
      <c r="B606" s="117"/>
      <c r="C606" s="117"/>
      <c r="D606" s="117"/>
      <c r="E606" s="117"/>
      <c r="F606" s="117"/>
      <c r="G606" s="117"/>
      <c r="H606" s="117"/>
      <c r="I606" s="117"/>
      <c r="J606" s="117"/>
      <c r="K606" s="117"/>
    </row>
    <row r="607" spans="1:11" ht="15.75" x14ac:dyDescent="0.2">
      <c r="A607" s="117"/>
      <c r="B607" s="117"/>
      <c r="C607" s="117"/>
      <c r="D607" s="117"/>
      <c r="E607" s="117"/>
      <c r="F607" s="117"/>
      <c r="G607" s="117"/>
      <c r="H607" s="117"/>
      <c r="I607" s="117"/>
      <c r="J607" s="117"/>
      <c r="K607" s="117"/>
    </row>
    <row r="608" spans="1:11" ht="15.75" x14ac:dyDescent="0.2">
      <c r="A608" s="117"/>
      <c r="B608" s="117"/>
      <c r="C608" s="117"/>
      <c r="D608" s="117"/>
      <c r="E608" s="117"/>
      <c r="F608" s="117"/>
      <c r="G608" s="117"/>
      <c r="H608" s="117"/>
      <c r="I608" s="117"/>
      <c r="J608" s="117"/>
      <c r="K608" s="117"/>
    </row>
    <row r="609" spans="1:11" ht="15.75" x14ac:dyDescent="0.2">
      <c r="A609" s="117"/>
      <c r="B609" s="117"/>
      <c r="C609" s="117"/>
      <c r="D609" s="117"/>
      <c r="E609" s="117"/>
      <c r="F609" s="117"/>
      <c r="G609" s="117"/>
      <c r="H609" s="117"/>
      <c r="I609" s="117"/>
      <c r="J609" s="117"/>
      <c r="K609" s="117"/>
    </row>
    <row r="610" spans="1:11" ht="15.75" x14ac:dyDescent="0.2">
      <c r="A610" s="117"/>
      <c r="B610" s="117"/>
      <c r="C610" s="117"/>
      <c r="D610" s="117"/>
      <c r="E610" s="117"/>
      <c r="F610" s="117"/>
      <c r="G610" s="117"/>
      <c r="H610" s="117"/>
      <c r="I610" s="117"/>
      <c r="J610" s="117"/>
      <c r="K610" s="117"/>
    </row>
    <row r="611" spans="1:11" ht="15.75" x14ac:dyDescent="0.2">
      <c r="A611" s="117"/>
      <c r="B611" s="117"/>
      <c r="C611" s="117"/>
      <c r="D611" s="117"/>
      <c r="E611" s="117"/>
      <c r="F611" s="117"/>
      <c r="G611" s="117"/>
      <c r="H611" s="117"/>
      <c r="I611" s="117"/>
      <c r="J611" s="117"/>
      <c r="K611" s="117"/>
    </row>
    <row r="612" spans="1:11" ht="15.75" x14ac:dyDescent="0.2">
      <c r="A612" s="117"/>
      <c r="B612" s="117"/>
      <c r="C612" s="117"/>
      <c r="D612" s="117"/>
      <c r="E612" s="117"/>
      <c r="F612" s="117"/>
      <c r="G612" s="117"/>
      <c r="H612" s="117"/>
      <c r="I612" s="117"/>
      <c r="J612" s="117"/>
      <c r="K612" s="117"/>
    </row>
    <row r="613" spans="1:11" ht="15.75" x14ac:dyDescent="0.2">
      <c r="A613" s="117"/>
      <c r="B613" s="117"/>
      <c r="C613" s="117"/>
      <c r="D613" s="117"/>
      <c r="E613" s="117"/>
      <c r="F613" s="117"/>
      <c r="G613" s="117"/>
      <c r="H613" s="117"/>
      <c r="I613" s="117"/>
      <c r="J613" s="117"/>
      <c r="K613" s="117"/>
    </row>
    <row r="614" spans="1:11" ht="15.75" x14ac:dyDescent="0.2">
      <c r="A614" s="117"/>
      <c r="B614" s="117"/>
      <c r="C614" s="117"/>
      <c r="D614" s="117"/>
      <c r="E614" s="117"/>
      <c r="F614" s="117"/>
      <c r="G614" s="117"/>
      <c r="H614" s="117"/>
      <c r="I614" s="117"/>
      <c r="J614" s="117"/>
      <c r="K614" s="117"/>
    </row>
    <row r="615" spans="1:11" ht="15.75" x14ac:dyDescent="0.2">
      <c r="A615" s="117"/>
      <c r="B615" s="117"/>
      <c r="C615" s="117"/>
      <c r="D615" s="117"/>
      <c r="E615" s="117"/>
      <c r="F615" s="117"/>
      <c r="G615" s="117"/>
      <c r="H615" s="117"/>
      <c r="I615" s="117"/>
      <c r="J615" s="117"/>
      <c r="K615" s="117"/>
    </row>
    <row r="616" spans="1:11" ht="15.75" x14ac:dyDescent="0.2">
      <c r="A616" s="117"/>
      <c r="B616" s="117"/>
      <c r="C616" s="117"/>
      <c r="D616" s="117"/>
      <c r="E616" s="117"/>
      <c r="F616" s="117"/>
      <c r="G616" s="117"/>
      <c r="H616" s="117"/>
      <c r="I616" s="117"/>
      <c r="J616" s="117"/>
      <c r="K616" s="117"/>
    </row>
    <row r="617" spans="1:11" ht="15.75" x14ac:dyDescent="0.2">
      <c r="A617" s="117"/>
      <c r="B617" s="117"/>
      <c r="C617" s="117"/>
      <c r="D617" s="117"/>
      <c r="E617" s="117"/>
      <c r="F617" s="117"/>
      <c r="G617" s="117"/>
      <c r="H617" s="117"/>
      <c r="I617" s="117"/>
      <c r="J617" s="117"/>
      <c r="K617" s="117"/>
    </row>
    <row r="618" spans="1:11" ht="15.75" x14ac:dyDescent="0.2">
      <c r="A618" s="117"/>
      <c r="B618" s="117"/>
      <c r="C618" s="117"/>
      <c r="D618" s="117"/>
      <c r="E618" s="117"/>
      <c r="F618" s="117"/>
      <c r="G618" s="117"/>
      <c r="H618" s="117"/>
      <c r="I618" s="117"/>
      <c r="J618" s="117"/>
      <c r="K618" s="117"/>
    </row>
    <row r="619" spans="1:11" ht="15.75" x14ac:dyDescent="0.2">
      <c r="A619" s="117"/>
      <c r="B619" s="117"/>
      <c r="C619" s="117"/>
      <c r="D619" s="117"/>
      <c r="E619" s="117"/>
      <c r="F619" s="117"/>
      <c r="G619" s="117"/>
      <c r="H619" s="117"/>
      <c r="I619" s="117"/>
      <c r="J619" s="117"/>
      <c r="K619" s="117"/>
    </row>
    <row r="620" spans="1:11" ht="15.75" x14ac:dyDescent="0.2">
      <c r="A620" s="117"/>
      <c r="B620" s="117"/>
      <c r="C620" s="117"/>
      <c r="D620" s="117"/>
      <c r="E620" s="117"/>
      <c r="F620" s="117"/>
      <c r="G620" s="117"/>
      <c r="H620" s="117"/>
      <c r="I620" s="117"/>
      <c r="J620" s="117"/>
      <c r="K620" s="117"/>
    </row>
    <row r="621" spans="1:11" ht="15.75" x14ac:dyDescent="0.2">
      <c r="A621" s="117"/>
      <c r="B621" s="117"/>
      <c r="C621" s="117"/>
      <c r="D621" s="117"/>
      <c r="E621" s="117"/>
      <c r="F621" s="117"/>
      <c r="G621" s="117"/>
      <c r="H621" s="117"/>
      <c r="I621" s="117"/>
      <c r="J621" s="117"/>
      <c r="K621" s="117"/>
    </row>
    <row r="622" spans="1:11" ht="15.75" x14ac:dyDescent="0.2">
      <c r="A622" s="117"/>
      <c r="B622" s="117"/>
      <c r="C622" s="117"/>
      <c r="D622" s="117"/>
      <c r="E622" s="117"/>
      <c r="F622" s="117"/>
      <c r="G622" s="117"/>
      <c r="H622" s="117"/>
      <c r="I622" s="117"/>
      <c r="J622" s="117"/>
      <c r="K622" s="117"/>
    </row>
    <row r="623" spans="1:11" ht="15.75" x14ac:dyDescent="0.2">
      <c r="A623" s="117"/>
      <c r="B623" s="117"/>
      <c r="C623" s="117"/>
      <c r="D623" s="117"/>
      <c r="E623" s="117"/>
      <c r="F623" s="117"/>
      <c r="G623" s="117"/>
      <c r="H623" s="117"/>
      <c r="I623" s="117"/>
      <c r="J623" s="117"/>
      <c r="K623" s="117"/>
    </row>
    <row r="624" spans="1:11" ht="15.75" x14ac:dyDescent="0.2">
      <c r="A624" s="117"/>
      <c r="B624" s="117"/>
      <c r="C624" s="117"/>
      <c r="D624" s="117"/>
      <c r="E624" s="117"/>
      <c r="F624" s="117"/>
      <c r="G624" s="117"/>
      <c r="H624" s="117"/>
      <c r="I624" s="117"/>
      <c r="J624" s="117"/>
      <c r="K624" s="117"/>
    </row>
    <row r="625" spans="1:11" ht="15.75" x14ac:dyDescent="0.2">
      <c r="A625" s="117"/>
      <c r="B625" s="117"/>
      <c r="C625" s="117"/>
      <c r="D625" s="117"/>
      <c r="E625" s="117"/>
      <c r="F625" s="117"/>
      <c r="G625" s="117"/>
      <c r="H625" s="117"/>
      <c r="I625" s="117"/>
      <c r="J625" s="117"/>
      <c r="K625" s="117"/>
    </row>
    <row r="626" spans="1:11" ht="15.75" x14ac:dyDescent="0.2">
      <c r="A626" s="117"/>
      <c r="B626" s="117"/>
      <c r="C626" s="117"/>
      <c r="D626" s="117"/>
      <c r="E626" s="117"/>
      <c r="F626" s="117"/>
      <c r="G626" s="117"/>
      <c r="H626" s="117"/>
      <c r="I626" s="117"/>
      <c r="J626" s="117"/>
      <c r="K626" s="117"/>
    </row>
    <row r="627" spans="1:11" ht="15.75" x14ac:dyDescent="0.2">
      <c r="A627" s="117"/>
      <c r="B627" s="117"/>
      <c r="C627" s="117"/>
      <c r="D627" s="117"/>
      <c r="E627" s="117"/>
      <c r="F627" s="117"/>
      <c r="G627" s="117"/>
      <c r="H627" s="117"/>
      <c r="I627" s="117"/>
      <c r="J627" s="117"/>
      <c r="K627" s="117"/>
    </row>
    <row r="628" spans="1:11" ht="15.75" x14ac:dyDescent="0.2">
      <c r="A628" s="117"/>
      <c r="B628" s="117"/>
      <c r="C628" s="117"/>
      <c r="D628" s="117"/>
      <c r="E628" s="117"/>
      <c r="F628" s="117"/>
      <c r="G628" s="117"/>
      <c r="H628" s="117"/>
      <c r="I628" s="117"/>
      <c r="J628" s="117"/>
      <c r="K628" s="117"/>
    </row>
    <row r="629" spans="1:11" ht="15.75" x14ac:dyDescent="0.2">
      <c r="A629" s="117"/>
      <c r="B629" s="117"/>
      <c r="C629" s="117"/>
      <c r="D629" s="117"/>
      <c r="E629" s="117"/>
      <c r="F629" s="117"/>
      <c r="G629" s="117"/>
      <c r="H629" s="117"/>
      <c r="I629" s="117"/>
      <c r="J629" s="117"/>
      <c r="K629" s="117"/>
    </row>
    <row r="630" spans="1:11" ht="15.75" x14ac:dyDescent="0.2">
      <c r="A630" s="117"/>
      <c r="B630" s="117"/>
      <c r="C630" s="117"/>
      <c r="D630" s="117"/>
      <c r="E630" s="117"/>
      <c r="F630" s="117"/>
      <c r="G630" s="117"/>
      <c r="H630" s="117"/>
      <c r="I630" s="117"/>
      <c r="J630" s="117"/>
      <c r="K630" s="117"/>
    </row>
    <row r="631" spans="1:11" ht="15.75" x14ac:dyDescent="0.2">
      <c r="A631" s="117"/>
      <c r="B631" s="117"/>
      <c r="C631" s="117"/>
      <c r="D631" s="117"/>
      <c r="E631" s="117"/>
      <c r="F631" s="117"/>
      <c r="G631" s="117"/>
      <c r="H631" s="117"/>
      <c r="I631" s="117"/>
      <c r="J631" s="117"/>
      <c r="K631" s="117"/>
    </row>
    <row r="632" spans="1:11" ht="15.75" x14ac:dyDescent="0.2">
      <c r="A632" s="117"/>
      <c r="B632" s="117"/>
      <c r="C632" s="117"/>
      <c r="D632" s="117"/>
      <c r="E632" s="117"/>
      <c r="F632" s="117"/>
      <c r="G632" s="117"/>
      <c r="H632" s="117"/>
      <c r="I632" s="117"/>
      <c r="J632" s="117"/>
      <c r="K632" s="117"/>
    </row>
    <row r="633" spans="1:11" ht="15.75" x14ac:dyDescent="0.2">
      <c r="A633" s="117"/>
      <c r="B633" s="117"/>
      <c r="C633" s="117"/>
      <c r="D633" s="117"/>
      <c r="E633" s="117"/>
      <c r="F633" s="117"/>
      <c r="G633" s="117"/>
      <c r="H633" s="117"/>
      <c r="I633" s="117"/>
      <c r="J633" s="117"/>
      <c r="K633" s="117"/>
    </row>
    <row r="634" spans="1:11" ht="15.75" x14ac:dyDescent="0.2">
      <c r="A634" s="117"/>
      <c r="B634" s="117"/>
      <c r="C634" s="117"/>
      <c r="D634" s="117"/>
      <c r="E634" s="117"/>
      <c r="F634" s="117"/>
      <c r="G634" s="117"/>
      <c r="H634" s="117"/>
      <c r="I634" s="117"/>
      <c r="J634" s="117"/>
      <c r="K634" s="117"/>
    </row>
    <row r="635" spans="1:11" ht="15.75" x14ac:dyDescent="0.2">
      <c r="A635" s="117"/>
      <c r="B635" s="117"/>
      <c r="C635" s="117"/>
      <c r="D635" s="117"/>
      <c r="E635" s="117"/>
      <c r="F635" s="117"/>
      <c r="G635" s="117"/>
      <c r="H635" s="117"/>
      <c r="I635" s="117"/>
      <c r="J635" s="117"/>
      <c r="K635" s="117"/>
    </row>
    <row r="636" spans="1:11" ht="15.75" x14ac:dyDescent="0.2">
      <c r="A636" s="117"/>
      <c r="B636" s="117"/>
      <c r="C636" s="117"/>
      <c r="D636" s="117"/>
      <c r="E636" s="117"/>
      <c r="F636" s="117"/>
      <c r="G636" s="117"/>
      <c r="H636" s="117"/>
      <c r="I636" s="117"/>
      <c r="J636" s="117"/>
      <c r="K636" s="117"/>
    </row>
    <row r="637" spans="1:11" ht="15.75" x14ac:dyDescent="0.2">
      <c r="A637" s="117"/>
      <c r="B637" s="117"/>
      <c r="C637" s="117"/>
      <c r="D637" s="117"/>
      <c r="E637" s="117"/>
      <c r="F637" s="117"/>
      <c r="G637" s="117"/>
      <c r="H637" s="117"/>
      <c r="I637" s="117"/>
      <c r="J637" s="117"/>
      <c r="K637" s="117"/>
    </row>
    <row r="638" spans="1:11" ht="15.75" x14ac:dyDescent="0.2">
      <c r="A638" s="117"/>
      <c r="B638" s="117"/>
      <c r="C638" s="117"/>
      <c r="D638" s="117"/>
      <c r="E638" s="117"/>
      <c r="F638" s="117"/>
      <c r="G638" s="117"/>
      <c r="H638" s="117"/>
      <c r="I638" s="117"/>
      <c r="J638" s="117"/>
      <c r="K638" s="117"/>
    </row>
    <row r="639" spans="1:11" ht="15.75" x14ac:dyDescent="0.2">
      <c r="A639" s="117"/>
      <c r="B639" s="117"/>
      <c r="C639" s="117"/>
      <c r="D639" s="117"/>
      <c r="E639" s="117"/>
      <c r="F639" s="117"/>
      <c r="G639" s="117"/>
      <c r="H639" s="117"/>
      <c r="I639" s="117"/>
      <c r="J639" s="117"/>
      <c r="K639" s="117"/>
    </row>
    <row r="640" spans="1:11" ht="15.75" x14ac:dyDescent="0.2">
      <c r="A640" s="117"/>
      <c r="B640" s="117"/>
      <c r="C640" s="117"/>
      <c r="D640" s="117"/>
      <c r="E640" s="117"/>
      <c r="F640" s="117"/>
      <c r="G640" s="117"/>
      <c r="H640" s="117"/>
      <c r="I640" s="117"/>
      <c r="J640" s="117"/>
      <c r="K640" s="117"/>
    </row>
    <row r="641" spans="1:11" ht="15.75" x14ac:dyDescent="0.2">
      <c r="A641" s="117"/>
      <c r="B641" s="117"/>
      <c r="C641" s="117"/>
      <c r="D641" s="117"/>
      <c r="E641" s="117"/>
      <c r="F641" s="117"/>
      <c r="G641" s="117"/>
      <c r="H641" s="117"/>
      <c r="I641" s="117"/>
      <c r="J641" s="117"/>
      <c r="K641" s="117"/>
    </row>
    <row r="642" spans="1:11" ht="15.75" x14ac:dyDescent="0.2">
      <c r="A642" s="117"/>
      <c r="B642" s="117"/>
      <c r="C642" s="117"/>
      <c r="D642" s="117"/>
      <c r="E642" s="117"/>
      <c r="F642" s="117"/>
      <c r="G642" s="117"/>
      <c r="H642" s="117"/>
      <c r="I642" s="117"/>
      <c r="J642" s="117"/>
      <c r="K642" s="117"/>
    </row>
    <row r="643" spans="1:11" ht="15.75" x14ac:dyDescent="0.2">
      <c r="A643" s="117"/>
      <c r="B643" s="117"/>
      <c r="C643" s="117"/>
      <c r="D643" s="117"/>
      <c r="E643" s="117"/>
      <c r="F643" s="117"/>
      <c r="G643" s="117"/>
      <c r="H643" s="117"/>
      <c r="I643" s="117"/>
      <c r="J643" s="117"/>
      <c r="K643" s="117"/>
    </row>
    <row r="644" spans="1:11" ht="15.75" x14ac:dyDescent="0.2">
      <c r="A644" s="117"/>
      <c r="B644" s="117"/>
      <c r="C644" s="117"/>
      <c r="D644" s="117"/>
      <c r="E644" s="117"/>
      <c r="F644" s="117"/>
      <c r="G644" s="117"/>
      <c r="H644" s="117"/>
      <c r="I644" s="117"/>
      <c r="J644" s="117"/>
      <c r="K644" s="117"/>
    </row>
    <row r="645" spans="1:11" ht="15.75" x14ac:dyDescent="0.2">
      <c r="A645" s="117"/>
      <c r="B645" s="117"/>
      <c r="C645" s="117"/>
      <c r="D645" s="117"/>
      <c r="E645" s="117"/>
      <c r="F645" s="117"/>
      <c r="G645" s="117"/>
      <c r="H645" s="117"/>
      <c r="I645" s="117"/>
      <c r="J645" s="117"/>
      <c r="K645" s="117"/>
    </row>
    <row r="646" spans="1:11" ht="15.75" x14ac:dyDescent="0.2">
      <c r="A646" s="117"/>
      <c r="B646" s="117"/>
      <c r="C646" s="117"/>
      <c r="D646" s="117"/>
      <c r="E646" s="117"/>
      <c r="F646" s="117"/>
      <c r="G646" s="117"/>
      <c r="H646" s="117"/>
      <c r="I646" s="117"/>
      <c r="J646" s="117"/>
      <c r="K646" s="117"/>
    </row>
    <row r="647" spans="1:11" ht="15.75" x14ac:dyDescent="0.2">
      <c r="A647" s="117"/>
      <c r="B647" s="117"/>
      <c r="C647" s="117"/>
      <c r="D647" s="117"/>
      <c r="E647" s="117"/>
      <c r="F647" s="117"/>
      <c r="G647" s="117"/>
      <c r="H647" s="117"/>
      <c r="I647" s="117"/>
      <c r="J647" s="117"/>
      <c r="K647" s="117"/>
    </row>
    <row r="648" spans="1:11" ht="15.75" x14ac:dyDescent="0.2">
      <c r="A648" s="117"/>
      <c r="B648" s="117"/>
      <c r="C648" s="117"/>
      <c r="D648" s="117"/>
      <c r="E648" s="117"/>
      <c r="F648" s="117"/>
      <c r="G648" s="117"/>
      <c r="H648" s="117"/>
      <c r="I648" s="117"/>
      <c r="J648" s="117"/>
      <c r="K648" s="117"/>
    </row>
    <row r="649" spans="1:11" ht="15.75" x14ac:dyDescent="0.2">
      <c r="A649" s="117"/>
      <c r="B649" s="117"/>
      <c r="C649" s="117"/>
      <c r="D649" s="117"/>
      <c r="E649" s="117"/>
      <c r="F649" s="117"/>
      <c r="G649" s="117"/>
      <c r="H649" s="117"/>
      <c r="I649" s="117"/>
      <c r="J649" s="117"/>
      <c r="K649" s="117"/>
    </row>
    <row r="650" spans="1:11" ht="15.75" x14ac:dyDescent="0.2">
      <c r="A650" s="117"/>
      <c r="B650" s="117"/>
      <c r="C650" s="117"/>
      <c r="D650" s="117"/>
      <c r="E650" s="117"/>
      <c r="F650" s="117"/>
      <c r="G650" s="117"/>
      <c r="H650" s="117"/>
      <c r="I650" s="117"/>
      <c r="J650" s="117"/>
      <c r="K650" s="117"/>
    </row>
    <row r="651" spans="1:11" ht="15.75" x14ac:dyDescent="0.2">
      <c r="A651" s="117"/>
      <c r="B651" s="117"/>
      <c r="C651" s="117"/>
      <c r="D651" s="117"/>
      <c r="E651" s="117"/>
      <c r="F651" s="117"/>
      <c r="G651" s="117"/>
      <c r="H651" s="117"/>
      <c r="I651" s="117"/>
      <c r="J651" s="117"/>
      <c r="K651" s="117"/>
    </row>
    <row r="652" spans="1:11" ht="15.75" x14ac:dyDescent="0.2">
      <c r="A652" s="117"/>
      <c r="B652" s="117"/>
      <c r="C652" s="117"/>
      <c r="D652" s="117"/>
      <c r="E652" s="117"/>
      <c r="F652" s="117"/>
      <c r="G652" s="117"/>
      <c r="H652" s="117"/>
      <c r="I652" s="117"/>
      <c r="J652" s="117"/>
      <c r="K652" s="117"/>
    </row>
    <row r="653" spans="1:11" ht="15.75" x14ac:dyDescent="0.2">
      <c r="A653" s="117"/>
      <c r="B653" s="117"/>
      <c r="C653" s="117"/>
      <c r="D653" s="117"/>
      <c r="E653" s="117"/>
      <c r="F653" s="117"/>
      <c r="G653" s="117"/>
      <c r="H653" s="117"/>
      <c r="I653" s="117"/>
      <c r="J653" s="117"/>
      <c r="K653" s="117"/>
    </row>
    <row r="654" spans="1:11" ht="15.75" x14ac:dyDescent="0.2">
      <c r="A654" s="117"/>
      <c r="B654" s="117"/>
      <c r="C654" s="117"/>
      <c r="D654" s="117"/>
      <c r="E654" s="117"/>
      <c r="F654" s="117"/>
      <c r="G654" s="117"/>
      <c r="H654" s="117"/>
      <c r="I654" s="117"/>
      <c r="J654" s="117"/>
      <c r="K654" s="117"/>
    </row>
    <row r="655" spans="1:11" ht="15.75" x14ac:dyDescent="0.2">
      <c r="A655" s="117"/>
      <c r="B655" s="117"/>
      <c r="C655" s="117"/>
      <c r="D655" s="117"/>
      <c r="E655" s="117"/>
      <c r="F655" s="117"/>
      <c r="G655" s="117"/>
      <c r="H655" s="117"/>
      <c r="I655" s="117"/>
      <c r="J655" s="117"/>
      <c r="K655" s="117"/>
    </row>
    <row r="656" spans="1:11" ht="15.75" x14ac:dyDescent="0.2">
      <c r="A656" s="117"/>
      <c r="B656" s="117"/>
      <c r="C656" s="117"/>
      <c r="D656" s="117"/>
      <c r="E656" s="117"/>
      <c r="F656" s="117"/>
      <c r="G656" s="117"/>
      <c r="H656" s="117"/>
      <c r="I656" s="117"/>
      <c r="J656" s="117"/>
      <c r="K656" s="117"/>
    </row>
    <row r="657" spans="1:11" ht="15.75" x14ac:dyDescent="0.2">
      <c r="A657" s="117"/>
      <c r="B657" s="117"/>
      <c r="C657" s="117"/>
      <c r="D657" s="117"/>
      <c r="E657" s="117"/>
      <c r="F657" s="117"/>
      <c r="G657" s="117"/>
      <c r="H657" s="117"/>
      <c r="I657" s="117"/>
      <c r="J657" s="117"/>
      <c r="K657" s="117"/>
    </row>
    <row r="658" spans="1:11" ht="15.75" x14ac:dyDescent="0.2">
      <c r="A658" s="117"/>
      <c r="B658" s="117"/>
      <c r="C658" s="117"/>
      <c r="D658" s="117"/>
      <c r="E658" s="117"/>
      <c r="F658" s="117"/>
      <c r="G658" s="117"/>
      <c r="H658" s="117"/>
      <c r="I658" s="117"/>
      <c r="J658" s="117"/>
      <c r="K658" s="117"/>
    </row>
    <row r="659" spans="1:11" ht="15.75" x14ac:dyDescent="0.2">
      <c r="A659" s="117"/>
      <c r="B659" s="117"/>
      <c r="C659" s="117"/>
      <c r="D659" s="117"/>
      <c r="E659" s="117"/>
      <c r="F659" s="117"/>
      <c r="G659" s="117"/>
      <c r="H659" s="117"/>
      <c r="I659" s="117"/>
      <c r="J659" s="117"/>
      <c r="K659" s="117"/>
    </row>
    <row r="660" spans="1:11" ht="15.75" x14ac:dyDescent="0.2">
      <c r="A660" s="117"/>
      <c r="B660" s="117"/>
      <c r="C660" s="117"/>
      <c r="D660" s="117"/>
      <c r="E660" s="117"/>
      <c r="F660" s="117"/>
      <c r="G660" s="117"/>
      <c r="H660" s="117"/>
      <c r="I660" s="117"/>
      <c r="J660" s="117"/>
      <c r="K660" s="117"/>
    </row>
    <row r="661" spans="1:11" ht="15.75" x14ac:dyDescent="0.2">
      <c r="A661" s="117"/>
      <c r="B661" s="117"/>
      <c r="C661" s="117"/>
      <c r="D661" s="117"/>
      <c r="E661" s="117"/>
      <c r="F661" s="117"/>
      <c r="G661" s="117"/>
      <c r="H661" s="117"/>
      <c r="I661" s="117"/>
      <c r="J661" s="117"/>
      <c r="K661" s="117"/>
    </row>
    <row r="662" spans="1:11" ht="15.75" x14ac:dyDescent="0.2">
      <c r="A662" s="117"/>
      <c r="B662" s="117"/>
      <c r="C662" s="117"/>
      <c r="D662" s="117"/>
      <c r="E662" s="117"/>
      <c r="F662" s="117"/>
      <c r="G662" s="117"/>
      <c r="H662" s="117"/>
      <c r="I662" s="117"/>
      <c r="J662" s="117"/>
      <c r="K662" s="117"/>
    </row>
    <row r="663" spans="1:11" ht="15.75" x14ac:dyDescent="0.2">
      <c r="A663" s="117"/>
      <c r="B663" s="117"/>
      <c r="C663" s="117"/>
      <c r="D663" s="117"/>
      <c r="E663" s="117"/>
      <c r="F663" s="117"/>
      <c r="G663" s="117"/>
      <c r="H663" s="117"/>
      <c r="I663" s="117"/>
      <c r="J663" s="117"/>
      <c r="K663" s="117"/>
    </row>
    <row r="664" spans="1:11" ht="15.75" x14ac:dyDescent="0.2">
      <c r="A664" s="117"/>
      <c r="B664" s="117"/>
      <c r="C664" s="117"/>
      <c r="D664" s="117"/>
      <c r="E664" s="117"/>
      <c r="F664" s="117"/>
      <c r="G664" s="117"/>
      <c r="H664" s="117"/>
      <c r="I664" s="117"/>
      <c r="J664" s="117"/>
      <c r="K664" s="117"/>
    </row>
    <row r="665" spans="1:11" ht="15.75" x14ac:dyDescent="0.2">
      <c r="A665" s="117"/>
      <c r="B665" s="117"/>
      <c r="C665" s="117"/>
      <c r="D665" s="117"/>
      <c r="E665" s="117"/>
      <c r="F665" s="117"/>
      <c r="G665" s="117"/>
      <c r="H665" s="117"/>
      <c r="I665" s="117"/>
      <c r="J665" s="117"/>
      <c r="K665" s="117"/>
    </row>
    <row r="666" spans="1:11" ht="15.75" x14ac:dyDescent="0.2">
      <c r="A666" s="117"/>
      <c r="B666" s="117"/>
      <c r="C666" s="117"/>
      <c r="D666" s="117"/>
      <c r="E666" s="117"/>
      <c r="F666" s="117"/>
      <c r="G666" s="117"/>
      <c r="H666" s="117"/>
      <c r="I666" s="117"/>
      <c r="J666" s="117"/>
      <c r="K666" s="117"/>
    </row>
    <row r="667" spans="1:11" ht="15.75" x14ac:dyDescent="0.2">
      <c r="A667" s="117"/>
      <c r="B667" s="117"/>
      <c r="C667" s="117"/>
      <c r="D667" s="117"/>
      <c r="E667" s="117"/>
      <c r="F667" s="117"/>
      <c r="G667" s="117"/>
      <c r="H667" s="117"/>
      <c r="I667" s="117"/>
      <c r="J667" s="117"/>
      <c r="K667" s="117"/>
    </row>
    <row r="668" spans="1:11" ht="15.75" x14ac:dyDescent="0.2">
      <c r="A668" s="117"/>
      <c r="B668" s="117"/>
      <c r="C668" s="117"/>
      <c r="D668" s="117"/>
      <c r="E668" s="117"/>
      <c r="F668" s="117"/>
      <c r="G668" s="117"/>
      <c r="H668" s="117"/>
      <c r="I668" s="117"/>
      <c r="J668" s="117"/>
      <c r="K668" s="117"/>
    </row>
    <row r="669" spans="1:11" ht="15.75" x14ac:dyDescent="0.2">
      <c r="A669" s="117"/>
      <c r="B669" s="117"/>
      <c r="C669" s="117"/>
      <c r="D669" s="117"/>
      <c r="E669" s="117"/>
      <c r="F669" s="117"/>
      <c r="G669" s="117"/>
      <c r="H669" s="117"/>
      <c r="I669" s="117"/>
      <c r="J669" s="117"/>
      <c r="K669" s="117"/>
    </row>
    <row r="670" spans="1:11" ht="15.75" x14ac:dyDescent="0.2">
      <c r="A670" s="117"/>
      <c r="B670" s="117"/>
      <c r="C670" s="117"/>
      <c r="D670" s="117"/>
      <c r="E670" s="117"/>
      <c r="F670" s="117"/>
      <c r="G670" s="117"/>
      <c r="H670" s="117"/>
      <c r="I670" s="117"/>
      <c r="J670" s="117"/>
      <c r="K670" s="117"/>
    </row>
    <row r="671" spans="1:11" ht="15.75" x14ac:dyDescent="0.2">
      <c r="A671" s="117"/>
      <c r="B671" s="117"/>
      <c r="C671" s="117"/>
      <c r="D671" s="117"/>
      <c r="E671" s="117"/>
      <c r="F671" s="117"/>
      <c r="G671" s="117"/>
      <c r="H671" s="117"/>
      <c r="I671" s="117"/>
      <c r="J671" s="117"/>
      <c r="K671" s="117"/>
    </row>
    <row r="672" spans="1:11" ht="15.75" x14ac:dyDescent="0.2">
      <c r="A672" s="117"/>
      <c r="B672" s="117"/>
      <c r="C672" s="117"/>
      <c r="D672" s="117"/>
      <c r="E672" s="117"/>
      <c r="F672" s="117"/>
      <c r="G672" s="117"/>
      <c r="H672" s="117"/>
      <c r="I672" s="117"/>
      <c r="J672" s="117"/>
      <c r="K672" s="117"/>
    </row>
    <row r="673" spans="1:11" ht="15.75" x14ac:dyDescent="0.2">
      <c r="A673" s="117"/>
      <c r="B673" s="117"/>
      <c r="C673" s="117"/>
      <c r="D673" s="117"/>
      <c r="E673" s="117"/>
      <c r="F673" s="117"/>
      <c r="G673" s="117"/>
      <c r="H673" s="117"/>
      <c r="I673" s="117"/>
      <c r="J673" s="117"/>
      <c r="K673" s="117"/>
    </row>
    <row r="674" spans="1:11" ht="15.75" x14ac:dyDescent="0.2">
      <c r="A674" s="117"/>
      <c r="B674" s="117"/>
      <c r="C674" s="117"/>
      <c r="D674" s="117"/>
      <c r="E674" s="117"/>
      <c r="F674" s="117"/>
      <c r="G674" s="117"/>
      <c r="H674" s="117"/>
      <c r="I674" s="117"/>
      <c r="J674" s="117"/>
      <c r="K674" s="117"/>
    </row>
    <row r="675" spans="1:11" ht="15.75" x14ac:dyDescent="0.2">
      <c r="A675" s="117"/>
      <c r="B675" s="117"/>
      <c r="C675" s="117"/>
      <c r="D675" s="117"/>
      <c r="E675" s="117"/>
      <c r="F675" s="117"/>
      <c r="G675" s="117"/>
      <c r="H675" s="117"/>
      <c r="I675" s="117"/>
      <c r="J675" s="117"/>
      <c r="K675" s="117"/>
    </row>
    <row r="676" spans="1:11" ht="15.75" x14ac:dyDescent="0.2">
      <c r="A676" s="117"/>
      <c r="B676" s="117"/>
      <c r="C676" s="117"/>
      <c r="D676" s="117"/>
      <c r="E676" s="117"/>
      <c r="F676" s="117"/>
      <c r="G676" s="117"/>
      <c r="H676" s="117"/>
      <c r="I676" s="117"/>
      <c r="J676" s="117"/>
      <c r="K676" s="117"/>
    </row>
    <row r="677" spans="1:11" ht="15.75" x14ac:dyDescent="0.2">
      <c r="A677" s="117"/>
      <c r="B677" s="117"/>
      <c r="C677" s="117"/>
      <c r="D677" s="117"/>
      <c r="E677" s="117"/>
      <c r="F677" s="117"/>
      <c r="G677" s="117"/>
      <c r="H677" s="117"/>
      <c r="I677" s="117"/>
      <c r="J677" s="117"/>
      <c r="K677" s="117"/>
    </row>
    <row r="678" spans="1:11" ht="15.75" x14ac:dyDescent="0.2">
      <c r="A678" s="117"/>
      <c r="B678" s="117"/>
      <c r="C678" s="117"/>
      <c r="D678" s="117"/>
      <c r="E678" s="117"/>
      <c r="F678" s="117"/>
      <c r="G678" s="117"/>
      <c r="H678" s="117"/>
      <c r="I678" s="117"/>
      <c r="J678" s="117"/>
      <c r="K678" s="117"/>
    </row>
    <row r="679" spans="1:11" ht="15.75" x14ac:dyDescent="0.2">
      <c r="A679" s="117"/>
      <c r="B679" s="117"/>
      <c r="C679" s="117"/>
      <c r="D679" s="117"/>
      <c r="E679" s="117"/>
      <c r="F679" s="117"/>
      <c r="G679" s="117"/>
      <c r="H679" s="117"/>
      <c r="I679" s="117"/>
      <c r="J679" s="117"/>
      <c r="K679" s="117"/>
    </row>
    <row r="680" spans="1:11" ht="15.75" x14ac:dyDescent="0.2">
      <c r="A680" s="121"/>
      <c r="B680" s="121"/>
      <c r="C680" s="121"/>
      <c r="D680" s="121"/>
      <c r="E680" s="121"/>
      <c r="F680" s="121"/>
      <c r="G680" s="121"/>
      <c r="H680" s="121"/>
      <c r="I680" s="121"/>
      <c r="J680" s="121"/>
      <c r="K680" s="121"/>
    </row>
    <row r="681" spans="1:11" ht="15.75" x14ac:dyDescent="0.2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</row>
    <row r="682" spans="1:11" ht="15.75" x14ac:dyDescent="0.2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</row>
    <row r="683" spans="1:11" ht="15.75" x14ac:dyDescent="0.2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</row>
    <row r="684" spans="1:11" ht="15.75" x14ac:dyDescent="0.2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</row>
    <row r="685" spans="1:11" s="123" customFormat="1" ht="15.75" x14ac:dyDescent="0.25">
      <c r="A685" s="117"/>
      <c r="B685" s="117"/>
      <c r="C685" s="117"/>
      <c r="D685" s="117"/>
      <c r="E685" s="117"/>
      <c r="F685" s="117"/>
      <c r="G685" s="117"/>
      <c r="H685" s="117"/>
      <c r="I685" s="117"/>
      <c r="J685" s="117"/>
      <c r="K685" s="117"/>
    </row>
    <row r="686" spans="1:11" s="123" customFormat="1" ht="15.75" x14ac:dyDescent="0.25">
      <c r="A686" s="117"/>
      <c r="B686" s="117"/>
      <c r="C686" s="117"/>
      <c r="D686" s="117"/>
      <c r="E686" s="117"/>
      <c r="F686" s="117"/>
      <c r="G686" s="117"/>
      <c r="H686" s="117"/>
      <c r="I686" s="117"/>
      <c r="J686" s="117"/>
      <c r="K686" s="117"/>
    </row>
    <row r="687" spans="1:11" s="123" customFormat="1" ht="15.75" x14ac:dyDescent="0.25">
      <c r="A687" s="117"/>
      <c r="B687" s="117"/>
      <c r="C687" s="117"/>
      <c r="D687" s="117"/>
      <c r="E687" s="117"/>
      <c r="F687" s="117"/>
      <c r="G687" s="117"/>
      <c r="H687" s="117"/>
      <c r="I687" s="117"/>
      <c r="J687" s="117"/>
      <c r="K687" s="117"/>
    </row>
    <row r="688" spans="1:11" s="123" customFormat="1" ht="15.75" x14ac:dyDescent="0.25">
      <c r="A688" s="117"/>
      <c r="B688" s="117"/>
      <c r="C688" s="117"/>
      <c r="D688" s="117"/>
      <c r="E688" s="117"/>
      <c r="F688" s="117"/>
      <c r="G688" s="117"/>
      <c r="H688" s="117"/>
      <c r="I688" s="117"/>
      <c r="J688" s="117"/>
      <c r="K688" s="117"/>
    </row>
    <row r="689" spans="1:11" s="123" customFormat="1" ht="15.75" x14ac:dyDescent="0.25">
      <c r="A689" s="117"/>
      <c r="B689" s="117"/>
      <c r="C689" s="117"/>
      <c r="D689" s="117"/>
      <c r="E689" s="117"/>
      <c r="F689" s="117"/>
      <c r="G689" s="117"/>
      <c r="H689" s="117"/>
      <c r="I689" s="117"/>
      <c r="J689" s="117"/>
      <c r="K689" s="117"/>
    </row>
    <row r="690" spans="1:11" s="123" customFormat="1" ht="15.75" x14ac:dyDescent="0.25">
      <c r="A690" s="117"/>
      <c r="B690" s="117"/>
      <c r="C690" s="117"/>
      <c r="D690" s="117"/>
      <c r="E690" s="117"/>
      <c r="F690" s="117"/>
      <c r="G690" s="117"/>
      <c r="H690" s="117"/>
      <c r="I690" s="117"/>
      <c r="J690" s="117"/>
      <c r="K690" s="117"/>
    </row>
    <row r="691" spans="1:11" s="123" customFormat="1" ht="15.75" x14ac:dyDescent="0.25">
      <c r="A691" s="117"/>
      <c r="B691" s="117"/>
      <c r="C691" s="117"/>
      <c r="D691" s="117"/>
      <c r="E691" s="117"/>
      <c r="F691" s="117"/>
      <c r="G691" s="117"/>
      <c r="H691" s="117"/>
      <c r="I691" s="117"/>
      <c r="J691" s="117"/>
      <c r="K691" s="117"/>
    </row>
    <row r="692" spans="1:11" s="123" customFormat="1" ht="15.75" x14ac:dyDescent="0.25">
      <c r="A692" s="117"/>
      <c r="B692" s="117"/>
      <c r="C692" s="117"/>
      <c r="D692" s="117"/>
      <c r="E692" s="117"/>
      <c r="F692" s="117"/>
      <c r="G692" s="117"/>
      <c r="H692" s="117"/>
      <c r="I692" s="117"/>
      <c r="J692" s="117"/>
      <c r="K692" s="117"/>
    </row>
    <row r="693" spans="1:11" s="123" customFormat="1" ht="15.75" x14ac:dyDescent="0.25">
      <c r="A693" s="117"/>
      <c r="B693" s="117"/>
      <c r="C693" s="117"/>
      <c r="D693" s="117"/>
      <c r="E693" s="117"/>
      <c r="F693" s="117"/>
      <c r="G693" s="117"/>
      <c r="H693" s="117"/>
      <c r="I693" s="117"/>
      <c r="J693" s="117"/>
      <c r="K693" s="117"/>
    </row>
    <row r="694" spans="1:11" s="123" customFormat="1" ht="15.75" x14ac:dyDescent="0.25">
      <c r="A694" s="117"/>
      <c r="B694" s="117"/>
      <c r="C694" s="117"/>
      <c r="D694" s="117"/>
      <c r="E694" s="117"/>
      <c r="F694" s="117"/>
      <c r="G694" s="117"/>
      <c r="H694" s="117"/>
      <c r="I694" s="117"/>
      <c r="J694" s="117"/>
      <c r="K694" s="117"/>
    </row>
    <row r="695" spans="1:11" s="123" customFormat="1" ht="15.75" x14ac:dyDescent="0.25">
      <c r="A695" s="117"/>
      <c r="B695" s="117"/>
      <c r="C695" s="117"/>
      <c r="D695" s="117"/>
      <c r="E695" s="117"/>
      <c r="F695" s="117"/>
      <c r="G695" s="117"/>
      <c r="H695" s="117"/>
      <c r="I695" s="117"/>
      <c r="J695" s="117"/>
      <c r="K695" s="117"/>
    </row>
    <row r="696" spans="1:11" s="123" customFormat="1" ht="15.75" x14ac:dyDescent="0.25">
      <c r="A696" s="117"/>
      <c r="B696" s="117"/>
      <c r="C696" s="117"/>
      <c r="D696" s="117"/>
      <c r="E696" s="117"/>
      <c r="F696" s="117"/>
      <c r="G696" s="117"/>
      <c r="H696" s="117"/>
      <c r="I696" s="117"/>
      <c r="J696" s="117"/>
      <c r="K696" s="117"/>
    </row>
    <row r="697" spans="1:11" s="123" customFormat="1" ht="15.75" x14ac:dyDescent="0.25">
      <c r="A697" s="117"/>
      <c r="B697" s="117"/>
      <c r="C697" s="117"/>
      <c r="D697" s="117"/>
      <c r="E697" s="117"/>
      <c r="F697" s="117"/>
      <c r="G697" s="117"/>
      <c r="H697" s="117"/>
      <c r="I697" s="117"/>
      <c r="J697" s="117"/>
      <c r="K697" s="117"/>
    </row>
    <row r="698" spans="1:11" s="123" customFormat="1" ht="15.75" x14ac:dyDescent="0.25">
      <c r="A698" s="117"/>
      <c r="B698" s="117"/>
      <c r="C698" s="117"/>
      <c r="D698" s="117"/>
      <c r="E698" s="117"/>
      <c r="F698" s="117"/>
      <c r="G698" s="117"/>
      <c r="H698" s="117"/>
      <c r="I698" s="117"/>
      <c r="J698" s="117"/>
      <c r="K698" s="117"/>
    </row>
    <row r="699" spans="1:11" s="123" customFormat="1" ht="15.75" x14ac:dyDescent="0.25">
      <c r="A699" s="117"/>
      <c r="B699" s="117"/>
      <c r="C699" s="117"/>
      <c r="D699" s="117"/>
      <c r="E699" s="117"/>
      <c r="F699" s="117"/>
      <c r="G699" s="117"/>
      <c r="H699" s="117"/>
      <c r="I699" s="117"/>
      <c r="J699" s="117"/>
      <c r="K699" s="117"/>
    </row>
    <row r="700" spans="1:11" s="123" customFormat="1" ht="15.75" x14ac:dyDescent="0.25">
      <c r="A700" s="117"/>
      <c r="B700" s="117"/>
      <c r="C700" s="117"/>
      <c r="D700" s="117"/>
      <c r="E700" s="117"/>
      <c r="F700" s="117"/>
      <c r="G700" s="117"/>
      <c r="H700" s="117"/>
      <c r="I700" s="117"/>
      <c r="J700" s="117"/>
      <c r="K700" s="117"/>
    </row>
    <row r="701" spans="1:11" s="123" customFormat="1" ht="15.75" x14ac:dyDescent="0.25">
      <c r="A701" s="117"/>
      <c r="B701" s="117"/>
      <c r="C701" s="117"/>
      <c r="D701" s="117"/>
      <c r="E701" s="117"/>
      <c r="F701" s="117"/>
      <c r="G701" s="117"/>
      <c r="H701" s="117"/>
      <c r="I701" s="117"/>
      <c r="J701" s="117"/>
      <c r="K701" s="117"/>
    </row>
    <row r="702" spans="1:11" s="123" customFormat="1" ht="15.75" x14ac:dyDescent="0.25">
      <c r="A702" s="117"/>
      <c r="B702" s="117"/>
      <c r="C702" s="117"/>
      <c r="D702" s="117"/>
      <c r="E702" s="117"/>
      <c r="F702" s="117"/>
      <c r="G702" s="117"/>
      <c r="H702" s="117"/>
      <c r="I702" s="117"/>
      <c r="J702" s="117"/>
      <c r="K702" s="117"/>
    </row>
    <row r="703" spans="1:11" s="123" customFormat="1" ht="15.75" x14ac:dyDescent="0.25">
      <c r="A703" s="117"/>
      <c r="B703" s="117"/>
      <c r="C703" s="117"/>
      <c r="D703" s="117"/>
      <c r="E703" s="117"/>
      <c r="F703" s="117"/>
      <c r="G703" s="117"/>
      <c r="H703" s="117"/>
      <c r="I703" s="117"/>
      <c r="J703" s="117"/>
      <c r="K703" s="117"/>
    </row>
    <row r="704" spans="1:11" s="123" customFormat="1" ht="15.75" x14ac:dyDescent="0.25">
      <c r="A704" s="117"/>
      <c r="B704" s="117"/>
      <c r="C704" s="117"/>
      <c r="D704" s="117"/>
      <c r="E704" s="117"/>
      <c r="F704" s="117"/>
      <c r="G704" s="117"/>
      <c r="H704" s="117"/>
      <c r="I704" s="117"/>
      <c r="J704" s="117"/>
      <c r="K704" s="117"/>
    </row>
    <row r="705" spans="1:11" s="123" customFormat="1" ht="15.75" x14ac:dyDescent="0.25">
      <c r="A705" s="117"/>
      <c r="B705" s="117"/>
      <c r="C705" s="117"/>
      <c r="D705" s="117"/>
      <c r="E705" s="117"/>
      <c r="F705" s="117"/>
      <c r="G705" s="117"/>
      <c r="H705" s="117"/>
      <c r="I705" s="117"/>
      <c r="J705" s="117"/>
      <c r="K705" s="117"/>
    </row>
    <row r="706" spans="1:11" s="123" customFormat="1" ht="15.75" x14ac:dyDescent="0.25">
      <c r="A706" s="117"/>
      <c r="B706" s="117"/>
      <c r="C706" s="117"/>
      <c r="D706" s="117"/>
      <c r="E706" s="117"/>
      <c r="F706" s="117"/>
      <c r="G706" s="117"/>
      <c r="H706" s="117"/>
      <c r="I706" s="117"/>
      <c r="J706" s="117"/>
      <c r="K706" s="117"/>
    </row>
    <row r="707" spans="1:11" s="123" customFormat="1" ht="15.75" x14ac:dyDescent="0.25">
      <c r="A707" s="117"/>
      <c r="B707" s="117"/>
      <c r="C707" s="117"/>
      <c r="D707" s="117"/>
      <c r="E707" s="117"/>
      <c r="F707" s="117"/>
      <c r="G707" s="117"/>
      <c r="H707" s="117"/>
      <c r="I707" s="117"/>
      <c r="J707" s="117"/>
      <c r="K707" s="117"/>
    </row>
    <row r="708" spans="1:11" s="123" customFormat="1" ht="15.75" x14ac:dyDescent="0.25">
      <c r="A708" s="117"/>
      <c r="B708" s="117"/>
      <c r="C708" s="117"/>
      <c r="D708" s="117"/>
      <c r="E708" s="117"/>
      <c r="F708" s="117"/>
      <c r="G708" s="117"/>
      <c r="H708" s="117"/>
      <c r="I708" s="117"/>
      <c r="J708" s="117"/>
      <c r="K708" s="117"/>
    </row>
    <row r="709" spans="1:11" s="123" customFormat="1" ht="15.75" x14ac:dyDescent="0.25">
      <c r="A709" s="117"/>
      <c r="B709" s="117"/>
      <c r="C709" s="117"/>
      <c r="D709" s="117"/>
      <c r="E709" s="117"/>
      <c r="F709" s="117"/>
      <c r="G709" s="117"/>
      <c r="H709" s="117"/>
      <c r="I709" s="117"/>
      <c r="J709" s="117"/>
      <c r="K709" s="117"/>
    </row>
    <row r="710" spans="1:11" s="123" customFormat="1" ht="15.75" x14ac:dyDescent="0.25">
      <c r="A710" s="117"/>
      <c r="B710" s="117"/>
      <c r="C710" s="117"/>
      <c r="D710" s="117"/>
      <c r="E710" s="117"/>
      <c r="F710" s="117"/>
      <c r="G710" s="117"/>
      <c r="H710" s="117"/>
      <c r="I710" s="117"/>
      <c r="J710" s="117"/>
      <c r="K710" s="117"/>
    </row>
    <row r="711" spans="1:11" s="123" customFormat="1" ht="15.75" x14ac:dyDescent="0.25">
      <c r="A711" s="117"/>
      <c r="B711" s="117"/>
      <c r="C711" s="117"/>
      <c r="D711" s="117"/>
      <c r="E711" s="117"/>
      <c r="F711" s="117"/>
      <c r="G711" s="117"/>
      <c r="H711" s="117"/>
      <c r="I711" s="117"/>
      <c r="J711" s="117"/>
      <c r="K711" s="117"/>
    </row>
    <row r="712" spans="1:11" s="123" customFormat="1" ht="15.75" x14ac:dyDescent="0.25">
      <c r="A712" s="117"/>
      <c r="B712" s="117"/>
      <c r="C712" s="117"/>
      <c r="D712" s="117"/>
      <c r="E712" s="117"/>
      <c r="F712" s="117"/>
      <c r="G712" s="117"/>
      <c r="H712" s="117"/>
      <c r="I712" s="117"/>
      <c r="J712" s="117"/>
      <c r="K712" s="117"/>
    </row>
    <row r="713" spans="1:11" s="123" customFormat="1" ht="15.75" x14ac:dyDescent="0.25">
      <c r="A713" s="117"/>
      <c r="B713" s="117"/>
      <c r="C713" s="117"/>
      <c r="D713" s="117"/>
      <c r="E713" s="117"/>
      <c r="F713" s="117"/>
      <c r="G713" s="117"/>
      <c r="H713" s="117"/>
      <c r="I713" s="117"/>
      <c r="J713" s="117"/>
      <c r="K713" s="117"/>
    </row>
    <row r="714" spans="1:11" s="123" customFormat="1" ht="15.75" x14ac:dyDescent="0.25">
      <c r="A714" s="117"/>
      <c r="B714" s="117"/>
      <c r="C714" s="117"/>
      <c r="D714" s="117"/>
      <c r="E714" s="117"/>
      <c r="F714" s="117"/>
      <c r="G714" s="117"/>
      <c r="H714" s="117"/>
      <c r="I714" s="117"/>
      <c r="J714" s="117"/>
      <c r="K714" s="117"/>
    </row>
    <row r="715" spans="1:11" s="123" customFormat="1" ht="15.75" x14ac:dyDescent="0.25">
      <c r="A715" s="117"/>
      <c r="B715" s="117"/>
      <c r="C715" s="117"/>
      <c r="D715" s="117"/>
      <c r="E715" s="117"/>
      <c r="F715" s="117"/>
      <c r="G715" s="117"/>
      <c r="H715" s="117"/>
      <c r="I715" s="117"/>
      <c r="J715" s="117"/>
      <c r="K715" s="117"/>
    </row>
    <row r="716" spans="1:11" s="123" customFormat="1" ht="15.75" x14ac:dyDescent="0.25">
      <c r="A716" s="117"/>
      <c r="B716" s="117"/>
      <c r="C716" s="117"/>
      <c r="D716" s="117"/>
      <c r="E716" s="117"/>
      <c r="F716" s="117"/>
      <c r="G716" s="117"/>
      <c r="H716" s="117"/>
      <c r="I716" s="117"/>
      <c r="J716" s="117"/>
      <c r="K716" s="117"/>
    </row>
    <row r="717" spans="1:11" s="123" customFormat="1" ht="15.75" x14ac:dyDescent="0.25">
      <c r="A717" s="117"/>
      <c r="B717" s="117"/>
      <c r="C717" s="117"/>
      <c r="D717" s="117"/>
      <c r="E717" s="117"/>
      <c r="F717" s="117"/>
      <c r="G717" s="117"/>
      <c r="H717" s="117"/>
      <c r="I717" s="117"/>
      <c r="J717" s="117"/>
      <c r="K717" s="117"/>
    </row>
    <row r="718" spans="1:11" s="123" customFormat="1" ht="15.75" x14ac:dyDescent="0.25">
      <c r="A718" s="117"/>
      <c r="B718" s="117"/>
      <c r="C718" s="117"/>
      <c r="D718" s="117"/>
      <c r="E718" s="117"/>
      <c r="F718" s="117"/>
      <c r="G718" s="117"/>
      <c r="H718" s="117"/>
      <c r="I718" s="117"/>
      <c r="J718" s="117"/>
      <c r="K718" s="117"/>
    </row>
    <row r="719" spans="1:11" s="123" customFormat="1" ht="15.75" x14ac:dyDescent="0.25">
      <c r="A719" s="117"/>
      <c r="B719" s="117"/>
      <c r="C719" s="117"/>
      <c r="D719" s="117"/>
      <c r="E719" s="117"/>
      <c r="F719" s="117"/>
      <c r="G719" s="117"/>
      <c r="H719" s="117"/>
      <c r="I719" s="117"/>
      <c r="J719" s="117"/>
      <c r="K719" s="117"/>
    </row>
    <row r="720" spans="1:11" s="123" customFormat="1" ht="15.75" x14ac:dyDescent="0.25">
      <c r="A720" s="117"/>
      <c r="B720" s="117"/>
      <c r="C720" s="117"/>
      <c r="D720" s="117"/>
      <c r="E720" s="117"/>
      <c r="F720" s="117"/>
      <c r="G720" s="117"/>
      <c r="H720" s="117"/>
      <c r="I720" s="117"/>
      <c r="J720" s="117"/>
      <c r="K720" s="117"/>
    </row>
    <row r="721" spans="1:11" s="123" customFormat="1" ht="15.75" x14ac:dyDescent="0.25">
      <c r="A721" s="117"/>
      <c r="B721" s="117"/>
      <c r="C721" s="117"/>
      <c r="D721" s="117"/>
      <c r="E721" s="117"/>
      <c r="F721" s="117"/>
      <c r="G721" s="117"/>
      <c r="H721" s="117"/>
      <c r="I721" s="117"/>
      <c r="J721" s="117"/>
      <c r="K721" s="117"/>
    </row>
    <row r="722" spans="1:11" s="123" customFormat="1" ht="15.75" x14ac:dyDescent="0.25">
      <c r="A722" s="117"/>
      <c r="B722" s="117"/>
      <c r="C722" s="117"/>
      <c r="D722" s="117"/>
      <c r="E722" s="117"/>
      <c r="F722" s="117"/>
      <c r="G722" s="117"/>
      <c r="H722" s="117"/>
      <c r="I722" s="117"/>
      <c r="J722" s="117"/>
      <c r="K722" s="117"/>
    </row>
    <row r="723" spans="1:11" s="123" customFormat="1" ht="15.75" x14ac:dyDescent="0.25">
      <c r="A723" s="117"/>
      <c r="B723" s="117"/>
      <c r="C723" s="117"/>
      <c r="D723" s="117"/>
      <c r="E723" s="117"/>
      <c r="F723" s="117"/>
      <c r="G723" s="117"/>
      <c r="H723" s="117"/>
      <c r="I723" s="117"/>
      <c r="J723" s="117"/>
      <c r="K723" s="117"/>
    </row>
    <row r="724" spans="1:11" s="123" customFormat="1" ht="15.75" x14ac:dyDescent="0.25">
      <c r="A724" s="117"/>
      <c r="B724" s="117"/>
      <c r="C724" s="117"/>
      <c r="D724" s="117"/>
      <c r="E724" s="117"/>
      <c r="F724" s="117"/>
      <c r="G724" s="117"/>
      <c r="H724" s="117"/>
      <c r="I724" s="117"/>
      <c r="J724" s="117"/>
      <c r="K724" s="117"/>
    </row>
    <row r="725" spans="1:11" s="123" customFormat="1" ht="15.75" x14ac:dyDescent="0.25">
      <c r="A725" s="117"/>
      <c r="B725" s="117"/>
      <c r="C725" s="117"/>
      <c r="D725" s="117"/>
      <c r="E725" s="117"/>
      <c r="F725" s="117"/>
      <c r="G725" s="117"/>
      <c r="H725" s="117"/>
      <c r="I725" s="117"/>
      <c r="J725" s="117"/>
      <c r="K725" s="117"/>
    </row>
    <row r="726" spans="1:11" s="123" customFormat="1" ht="15.75" x14ac:dyDescent="0.25">
      <c r="A726" s="117"/>
      <c r="B726" s="117"/>
      <c r="C726" s="117"/>
      <c r="D726" s="117"/>
      <c r="E726" s="117"/>
      <c r="F726" s="117"/>
      <c r="G726" s="117"/>
      <c r="H726" s="117"/>
      <c r="I726" s="117"/>
      <c r="J726" s="117"/>
      <c r="K726" s="117"/>
    </row>
    <row r="727" spans="1:11" s="123" customFormat="1" ht="15.75" x14ac:dyDescent="0.25">
      <c r="A727" s="117"/>
      <c r="B727" s="117"/>
      <c r="C727" s="117"/>
      <c r="D727" s="117"/>
      <c r="E727" s="117"/>
      <c r="F727" s="117"/>
      <c r="G727" s="117"/>
      <c r="H727" s="117"/>
      <c r="I727" s="117"/>
      <c r="J727" s="117"/>
      <c r="K727" s="117"/>
    </row>
    <row r="728" spans="1:11" s="123" customFormat="1" ht="15.75" x14ac:dyDescent="0.25">
      <c r="A728" s="117"/>
      <c r="B728" s="117"/>
      <c r="C728" s="117"/>
      <c r="D728" s="117"/>
      <c r="E728" s="117"/>
      <c r="F728" s="117"/>
      <c r="G728" s="117"/>
      <c r="H728" s="117"/>
      <c r="I728" s="117"/>
      <c r="J728" s="117"/>
      <c r="K728" s="117"/>
    </row>
    <row r="729" spans="1:11" s="123" customFormat="1" ht="15.75" x14ac:dyDescent="0.25">
      <c r="A729" s="117"/>
      <c r="B729" s="117"/>
      <c r="C729" s="117"/>
      <c r="D729" s="117"/>
      <c r="E729" s="117"/>
      <c r="F729" s="117"/>
      <c r="G729" s="117"/>
      <c r="H729" s="117"/>
      <c r="I729" s="117"/>
      <c r="J729" s="117"/>
      <c r="K729" s="117"/>
    </row>
    <row r="730" spans="1:11" s="123" customFormat="1" ht="15.75" x14ac:dyDescent="0.25">
      <c r="A730" s="117"/>
      <c r="B730" s="117"/>
      <c r="C730" s="117"/>
      <c r="D730" s="117"/>
      <c r="E730" s="117"/>
      <c r="F730" s="117"/>
      <c r="G730" s="117"/>
      <c r="H730" s="117"/>
      <c r="I730" s="117"/>
      <c r="J730" s="117"/>
      <c r="K730" s="117"/>
    </row>
    <row r="731" spans="1:11" s="123" customFormat="1" ht="15.75" x14ac:dyDescent="0.25">
      <c r="A731" s="117"/>
      <c r="B731" s="117"/>
      <c r="C731" s="117"/>
      <c r="D731" s="117"/>
      <c r="E731" s="117"/>
      <c r="F731" s="117"/>
      <c r="G731" s="117"/>
      <c r="H731" s="117"/>
      <c r="I731" s="117"/>
      <c r="J731" s="117"/>
      <c r="K731" s="117"/>
    </row>
    <row r="732" spans="1:11" s="123" customFormat="1" ht="15.75" x14ac:dyDescent="0.25">
      <c r="A732" s="117"/>
      <c r="B732" s="117"/>
      <c r="C732" s="117"/>
      <c r="D732" s="117"/>
      <c r="E732" s="117"/>
      <c r="F732" s="117"/>
      <c r="G732" s="117"/>
      <c r="H732" s="117"/>
      <c r="I732" s="117"/>
      <c r="J732" s="117"/>
      <c r="K732" s="117"/>
    </row>
    <row r="733" spans="1:11" s="123" customFormat="1" ht="15.75" x14ac:dyDescent="0.25">
      <c r="A733" s="117"/>
      <c r="B733" s="117"/>
      <c r="C733" s="117"/>
      <c r="D733" s="117"/>
      <c r="E733" s="117"/>
      <c r="F733" s="117"/>
      <c r="G733" s="117"/>
      <c r="H733" s="117"/>
      <c r="I733" s="117"/>
      <c r="J733" s="117"/>
      <c r="K733" s="117"/>
    </row>
    <row r="734" spans="1:11" s="123" customFormat="1" ht="15.75" x14ac:dyDescent="0.25">
      <c r="A734" s="117"/>
      <c r="B734" s="117"/>
      <c r="C734" s="117"/>
      <c r="D734" s="117"/>
      <c r="E734" s="117"/>
      <c r="F734" s="117"/>
      <c r="G734" s="117"/>
      <c r="H734" s="117"/>
      <c r="I734" s="117"/>
      <c r="J734" s="117"/>
      <c r="K734" s="117"/>
    </row>
    <row r="735" spans="1:11" s="123" customFormat="1" ht="15.75" x14ac:dyDescent="0.25">
      <c r="A735" s="117"/>
      <c r="B735" s="117"/>
      <c r="C735" s="117"/>
      <c r="D735" s="117"/>
      <c r="E735" s="117"/>
      <c r="F735" s="117"/>
      <c r="G735" s="117"/>
      <c r="H735" s="117"/>
      <c r="I735" s="117"/>
      <c r="J735" s="117"/>
      <c r="K735" s="117"/>
    </row>
    <row r="736" spans="1:11" s="123" customFormat="1" ht="15.75" x14ac:dyDescent="0.25">
      <c r="A736" s="117"/>
      <c r="B736" s="117"/>
      <c r="C736" s="117"/>
      <c r="D736" s="117"/>
      <c r="E736" s="117"/>
      <c r="F736" s="117"/>
      <c r="G736" s="117"/>
      <c r="H736" s="117"/>
      <c r="I736" s="117"/>
      <c r="J736" s="117"/>
      <c r="K736" s="117"/>
    </row>
    <row r="737" spans="1:11" s="123" customFormat="1" ht="15.75" x14ac:dyDescent="0.25">
      <c r="A737" s="117"/>
      <c r="B737" s="117"/>
      <c r="C737" s="117"/>
      <c r="D737" s="117"/>
      <c r="E737" s="117"/>
      <c r="F737" s="117"/>
      <c r="G737" s="117"/>
      <c r="H737" s="117"/>
      <c r="I737" s="117"/>
      <c r="J737" s="117"/>
      <c r="K737" s="117"/>
    </row>
    <row r="738" spans="1:11" s="123" customFormat="1" ht="15.75" x14ac:dyDescent="0.25">
      <c r="A738" s="117"/>
      <c r="B738" s="117"/>
      <c r="C738" s="117"/>
      <c r="D738" s="117"/>
      <c r="E738" s="117"/>
      <c r="F738" s="117"/>
      <c r="G738" s="117"/>
      <c r="H738" s="117"/>
      <c r="I738" s="117"/>
      <c r="J738" s="117"/>
      <c r="K738" s="117"/>
    </row>
    <row r="739" spans="1:11" s="123" customFormat="1" ht="15.75" x14ac:dyDescent="0.25">
      <c r="A739" s="117"/>
      <c r="B739" s="117"/>
      <c r="C739" s="117"/>
      <c r="D739" s="117"/>
      <c r="E739" s="117"/>
      <c r="F739" s="117"/>
      <c r="G739" s="117"/>
      <c r="H739" s="117"/>
      <c r="I739" s="117"/>
      <c r="J739" s="117"/>
      <c r="K739" s="117"/>
    </row>
    <row r="740" spans="1:11" s="123" customFormat="1" ht="15.75" x14ac:dyDescent="0.25">
      <c r="A740" s="117"/>
      <c r="B740" s="117"/>
      <c r="C740" s="117"/>
      <c r="D740" s="117"/>
      <c r="E740" s="117"/>
      <c r="F740" s="117"/>
      <c r="G740" s="117"/>
      <c r="H740" s="117"/>
      <c r="I740" s="117"/>
      <c r="J740" s="117"/>
      <c r="K740" s="117"/>
    </row>
    <row r="741" spans="1:11" s="123" customFormat="1" ht="15.75" x14ac:dyDescent="0.25">
      <c r="A741" s="117"/>
      <c r="B741" s="117"/>
      <c r="C741" s="117"/>
      <c r="D741" s="117"/>
      <c r="E741" s="117"/>
      <c r="F741" s="117"/>
      <c r="G741" s="117"/>
      <c r="H741" s="117"/>
      <c r="I741" s="117"/>
      <c r="J741" s="117"/>
      <c r="K741" s="117"/>
    </row>
    <row r="742" spans="1:11" s="123" customFormat="1" ht="15.75" x14ac:dyDescent="0.25">
      <c r="A742" s="117"/>
      <c r="B742" s="117"/>
      <c r="C742" s="117"/>
      <c r="D742" s="117"/>
      <c r="E742" s="117"/>
      <c r="F742" s="117"/>
      <c r="G742" s="117"/>
      <c r="H742" s="117"/>
      <c r="I742" s="117"/>
      <c r="J742" s="117"/>
      <c r="K742" s="117"/>
    </row>
    <row r="743" spans="1:11" s="123" customFormat="1" ht="15.75" x14ac:dyDescent="0.25">
      <c r="A743" s="117"/>
      <c r="B743" s="117"/>
      <c r="C743" s="117"/>
      <c r="D743" s="117"/>
      <c r="E743" s="117"/>
      <c r="F743" s="117"/>
      <c r="G743" s="117"/>
      <c r="H743" s="117"/>
      <c r="I743" s="117"/>
      <c r="J743" s="117"/>
      <c r="K743" s="117"/>
    </row>
    <row r="744" spans="1:11" s="123" customFormat="1" ht="15.75" x14ac:dyDescent="0.25">
      <c r="A744" s="117"/>
      <c r="B744" s="117"/>
      <c r="C744" s="117"/>
      <c r="D744" s="117"/>
      <c r="E744" s="117"/>
      <c r="F744" s="117"/>
      <c r="G744" s="117"/>
      <c r="H744" s="117"/>
      <c r="I744" s="117"/>
      <c r="J744" s="117"/>
      <c r="K744" s="117"/>
    </row>
    <row r="745" spans="1:11" s="123" customFormat="1" ht="15.75" x14ac:dyDescent="0.25">
      <c r="A745" s="117"/>
      <c r="B745" s="117"/>
      <c r="C745" s="117"/>
      <c r="D745" s="117"/>
      <c r="E745" s="117"/>
      <c r="F745" s="117"/>
      <c r="G745" s="117"/>
      <c r="H745" s="117"/>
      <c r="I745" s="117"/>
      <c r="J745" s="117"/>
      <c r="K745" s="117"/>
    </row>
    <row r="746" spans="1:11" s="123" customFormat="1" ht="15.75" x14ac:dyDescent="0.25">
      <c r="A746" s="117"/>
      <c r="B746" s="117"/>
      <c r="C746" s="117"/>
      <c r="D746" s="117"/>
      <c r="E746" s="117"/>
      <c r="F746" s="117"/>
      <c r="G746" s="117"/>
      <c r="H746" s="117"/>
      <c r="I746" s="117"/>
      <c r="J746" s="117"/>
      <c r="K746" s="117"/>
    </row>
    <row r="747" spans="1:11" s="123" customFormat="1" ht="15.75" x14ac:dyDescent="0.25">
      <c r="A747" s="117"/>
      <c r="B747" s="117"/>
      <c r="C747" s="117"/>
      <c r="D747" s="117"/>
      <c r="E747" s="117"/>
      <c r="F747" s="117"/>
      <c r="G747" s="117"/>
      <c r="H747" s="117"/>
      <c r="I747" s="117"/>
      <c r="J747" s="117"/>
      <c r="K747" s="117"/>
    </row>
    <row r="748" spans="1:11" s="123" customFormat="1" ht="15.75" x14ac:dyDescent="0.25">
      <c r="A748" s="117"/>
      <c r="B748" s="117"/>
      <c r="C748" s="117"/>
      <c r="D748" s="117"/>
      <c r="E748" s="117"/>
      <c r="F748" s="117"/>
      <c r="G748" s="117"/>
      <c r="H748" s="117"/>
      <c r="I748" s="117"/>
      <c r="J748" s="117"/>
      <c r="K748" s="117"/>
    </row>
    <row r="749" spans="1:11" s="123" customFormat="1" ht="15.75" x14ac:dyDescent="0.25">
      <c r="A749" s="117"/>
      <c r="B749" s="117"/>
      <c r="C749" s="117"/>
      <c r="D749" s="117"/>
      <c r="E749" s="117"/>
      <c r="F749" s="117"/>
      <c r="G749" s="117"/>
      <c r="H749" s="117"/>
      <c r="I749" s="117"/>
      <c r="J749" s="117"/>
      <c r="K749" s="117"/>
    </row>
    <row r="750" spans="1:11" s="123" customFormat="1" ht="15.75" x14ac:dyDescent="0.25">
      <c r="A750" s="117"/>
      <c r="B750" s="117"/>
      <c r="C750" s="117"/>
      <c r="D750" s="117"/>
      <c r="E750" s="117"/>
      <c r="F750" s="117"/>
      <c r="G750" s="117"/>
      <c r="H750" s="117"/>
      <c r="I750" s="117"/>
      <c r="J750" s="117"/>
      <c r="K750" s="117"/>
    </row>
    <row r="751" spans="1:11" s="123" customFormat="1" ht="15.75" x14ac:dyDescent="0.25">
      <c r="A751" s="117"/>
      <c r="B751" s="117"/>
      <c r="C751" s="117"/>
      <c r="D751" s="117"/>
      <c r="E751" s="117"/>
      <c r="F751" s="117"/>
      <c r="G751" s="117"/>
      <c r="H751" s="117"/>
      <c r="I751" s="117"/>
      <c r="J751" s="117"/>
      <c r="K751" s="117"/>
    </row>
    <row r="752" spans="1:11" s="123" customFormat="1" ht="15.75" x14ac:dyDescent="0.25">
      <c r="A752" s="117"/>
      <c r="B752" s="117"/>
      <c r="C752" s="117"/>
      <c r="D752" s="117"/>
      <c r="E752" s="117"/>
      <c r="F752" s="117"/>
      <c r="G752" s="117"/>
      <c r="H752" s="117"/>
      <c r="I752" s="117"/>
      <c r="J752" s="117"/>
      <c r="K752" s="117"/>
    </row>
    <row r="753" spans="1:11" s="123" customFormat="1" ht="15.75" x14ac:dyDescent="0.25">
      <c r="A753" s="117"/>
      <c r="B753" s="117"/>
      <c r="C753" s="117"/>
      <c r="D753" s="117"/>
      <c r="E753" s="117"/>
      <c r="F753" s="117"/>
      <c r="G753" s="117"/>
      <c r="H753" s="117"/>
      <c r="I753" s="117"/>
      <c r="J753" s="117"/>
      <c r="K753" s="117"/>
    </row>
    <row r="754" spans="1:11" s="123" customFormat="1" ht="15.75" x14ac:dyDescent="0.25">
      <c r="A754" s="117"/>
      <c r="B754" s="117"/>
      <c r="C754" s="117"/>
      <c r="D754" s="117"/>
      <c r="E754" s="117"/>
      <c r="F754" s="117"/>
      <c r="G754" s="117"/>
      <c r="H754" s="117"/>
      <c r="I754" s="117"/>
      <c r="J754" s="117"/>
      <c r="K754" s="117"/>
    </row>
    <row r="755" spans="1:11" s="123" customFormat="1" ht="15.75" x14ac:dyDescent="0.25">
      <c r="A755" s="117"/>
      <c r="B755" s="117"/>
      <c r="C755" s="117"/>
      <c r="D755" s="117"/>
      <c r="E755" s="117"/>
      <c r="F755" s="117"/>
      <c r="G755" s="117"/>
      <c r="H755" s="117"/>
      <c r="I755" s="117"/>
      <c r="J755" s="117"/>
      <c r="K755" s="117"/>
    </row>
    <row r="756" spans="1:11" s="123" customFormat="1" ht="15.75" x14ac:dyDescent="0.25">
      <c r="A756" s="117"/>
      <c r="B756" s="117"/>
      <c r="C756" s="117"/>
      <c r="D756" s="117"/>
      <c r="E756" s="117"/>
      <c r="F756" s="117"/>
      <c r="G756" s="117"/>
      <c r="H756" s="117"/>
      <c r="I756" s="117"/>
      <c r="J756" s="117"/>
      <c r="K756" s="117"/>
    </row>
    <row r="757" spans="1:11" s="123" customFormat="1" ht="15.75" x14ac:dyDescent="0.25">
      <c r="A757" s="117"/>
      <c r="B757" s="117"/>
      <c r="C757" s="117"/>
      <c r="D757" s="117"/>
      <c r="E757" s="117"/>
      <c r="F757" s="117"/>
      <c r="G757" s="117"/>
      <c r="H757" s="117"/>
      <c r="I757" s="117"/>
      <c r="J757" s="117"/>
      <c r="K757" s="117"/>
    </row>
    <row r="758" spans="1:11" s="123" customFormat="1" ht="15.75" x14ac:dyDescent="0.25">
      <c r="A758" s="117"/>
      <c r="B758" s="117"/>
      <c r="C758" s="117"/>
      <c r="D758" s="117"/>
      <c r="E758" s="117"/>
      <c r="F758" s="117"/>
      <c r="G758" s="117"/>
      <c r="H758" s="117"/>
      <c r="I758" s="117"/>
      <c r="J758" s="117"/>
      <c r="K758" s="117"/>
    </row>
    <row r="759" spans="1:11" s="123" customFormat="1" ht="15.75" x14ac:dyDescent="0.25">
      <c r="A759" s="117"/>
      <c r="B759" s="117"/>
      <c r="C759" s="117"/>
      <c r="D759" s="117"/>
      <c r="E759" s="117"/>
      <c r="F759" s="117"/>
      <c r="G759" s="117"/>
      <c r="H759" s="117"/>
      <c r="I759" s="117"/>
      <c r="J759" s="117"/>
      <c r="K759" s="117"/>
    </row>
    <row r="760" spans="1:11" s="123" customFormat="1" ht="15.75" x14ac:dyDescent="0.25">
      <c r="A760" s="117"/>
      <c r="B760" s="117"/>
      <c r="C760" s="117"/>
      <c r="D760" s="117"/>
      <c r="E760" s="117"/>
      <c r="F760" s="117"/>
      <c r="G760" s="117"/>
      <c r="H760" s="117"/>
      <c r="I760" s="117"/>
      <c r="J760" s="117"/>
      <c r="K760" s="117"/>
    </row>
    <row r="761" spans="1:11" s="123" customFormat="1" ht="15.75" x14ac:dyDescent="0.25">
      <c r="A761" s="117"/>
      <c r="B761" s="117"/>
      <c r="C761" s="117"/>
      <c r="D761" s="117"/>
      <c r="E761" s="117"/>
      <c r="F761" s="117"/>
      <c r="G761" s="117"/>
      <c r="H761" s="117"/>
      <c r="I761" s="117"/>
      <c r="J761" s="117"/>
      <c r="K761" s="117"/>
    </row>
    <row r="762" spans="1:11" s="123" customFormat="1" ht="15.75" x14ac:dyDescent="0.25">
      <c r="A762" s="117"/>
      <c r="B762" s="117"/>
      <c r="C762" s="117"/>
      <c r="D762" s="117"/>
      <c r="E762" s="117"/>
      <c r="F762" s="117"/>
      <c r="G762" s="117"/>
      <c r="H762" s="117"/>
      <c r="I762" s="117"/>
      <c r="J762" s="117"/>
      <c r="K762" s="117"/>
    </row>
    <row r="763" spans="1:11" s="123" customFormat="1" ht="15.75" x14ac:dyDescent="0.25">
      <c r="A763" s="117"/>
      <c r="B763" s="117"/>
      <c r="C763" s="117"/>
      <c r="D763" s="117"/>
      <c r="E763" s="117"/>
      <c r="F763" s="117"/>
      <c r="G763" s="117"/>
      <c r="H763" s="117"/>
      <c r="I763" s="117"/>
      <c r="J763" s="117"/>
      <c r="K763" s="117"/>
    </row>
    <row r="764" spans="1:11" s="123" customFormat="1" ht="15.75" x14ac:dyDescent="0.25">
      <c r="A764" s="117"/>
      <c r="B764" s="117"/>
      <c r="C764" s="117"/>
      <c r="D764" s="117"/>
      <c r="E764" s="117"/>
      <c r="F764" s="117"/>
      <c r="G764" s="117"/>
      <c r="H764" s="117"/>
      <c r="I764" s="117"/>
      <c r="J764" s="117"/>
      <c r="K764" s="117"/>
    </row>
    <row r="765" spans="1:11" s="123" customFormat="1" ht="15.75" x14ac:dyDescent="0.25">
      <c r="A765" s="117"/>
      <c r="B765" s="117"/>
      <c r="C765" s="117"/>
      <c r="D765" s="117"/>
      <c r="E765" s="117"/>
      <c r="F765" s="117"/>
      <c r="G765" s="117"/>
      <c r="H765" s="117"/>
      <c r="I765" s="117"/>
      <c r="J765" s="117"/>
      <c r="K765" s="117"/>
    </row>
    <row r="766" spans="1:11" s="123" customFormat="1" ht="15.75" x14ac:dyDescent="0.25">
      <c r="A766" s="117"/>
      <c r="B766" s="117"/>
      <c r="C766" s="117"/>
      <c r="D766" s="117"/>
      <c r="E766" s="117"/>
      <c r="F766" s="117"/>
      <c r="G766" s="117"/>
      <c r="H766" s="117"/>
      <c r="I766" s="117"/>
      <c r="J766" s="117"/>
      <c r="K766" s="117"/>
    </row>
    <row r="767" spans="1:11" s="123" customFormat="1" ht="15.75" x14ac:dyDescent="0.25">
      <c r="A767" s="117"/>
      <c r="B767" s="117"/>
      <c r="C767" s="117"/>
      <c r="D767" s="117"/>
      <c r="E767" s="117"/>
      <c r="F767" s="117"/>
      <c r="G767" s="117"/>
      <c r="H767" s="117"/>
      <c r="I767" s="117"/>
      <c r="J767" s="117"/>
      <c r="K767" s="117"/>
    </row>
    <row r="768" spans="1:11" s="123" customFormat="1" ht="15.75" x14ac:dyDescent="0.25">
      <c r="A768" s="117"/>
      <c r="B768" s="117"/>
      <c r="C768" s="117"/>
      <c r="D768" s="117"/>
      <c r="E768" s="117"/>
      <c r="F768" s="117"/>
      <c r="G768" s="117"/>
      <c r="H768" s="117"/>
      <c r="I768" s="117"/>
      <c r="J768" s="117"/>
      <c r="K768" s="117"/>
    </row>
    <row r="769" spans="1:11" s="123" customFormat="1" ht="15.75" x14ac:dyDescent="0.25">
      <c r="A769" s="117"/>
      <c r="B769" s="117"/>
      <c r="C769" s="117"/>
      <c r="D769" s="117"/>
      <c r="E769" s="117"/>
      <c r="F769" s="117"/>
      <c r="G769" s="117"/>
      <c r="H769" s="117"/>
      <c r="I769" s="117"/>
      <c r="J769" s="117"/>
      <c r="K769" s="117"/>
    </row>
    <row r="770" spans="1:11" s="123" customFormat="1" ht="15.75" x14ac:dyDescent="0.25">
      <c r="A770" s="117"/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</row>
    <row r="771" spans="1:11" s="123" customFormat="1" ht="15.75" x14ac:dyDescent="0.25">
      <c r="A771" s="117"/>
      <c r="B771" s="117"/>
      <c r="C771" s="117"/>
      <c r="D771" s="117"/>
      <c r="E771" s="117"/>
      <c r="F771" s="117"/>
      <c r="G771" s="117"/>
      <c r="H771" s="117"/>
      <c r="I771" s="117"/>
      <c r="J771" s="117"/>
      <c r="K771" s="117"/>
    </row>
    <row r="772" spans="1:11" s="123" customFormat="1" ht="15.75" x14ac:dyDescent="0.25">
      <c r="A772" s="117"/>
      <c r="B772" s="117"/>
      <c r="C772" s="117"/>
      <c r="D772" s="117"/>
      <c r="E772" s="117"/>
      <c r="F772" s="117"/>
      <c r="G772" s="117"/>
      <c r="H772" s="117"/>
      <c r="I772" s="117"/>
      <c r="J772" s="117"/>
      <c r="K772" s="117"/>
    </row>
    <row r="773" spans="1:11" s="123" customFormat="1" ht="15.75" x14ac:dyDescent="0.25">
      <c r="A773" s="117"/>
      <c r="B773" s="117"/>
      <c r="C773" s="117"/>
      <c r="D773" s="117"/>
      <c r="E773" s="117"/>
      <c r="F773" s="117"/>
      <c r="G773" s="117"/>
      <c r="H773" s="117"/>
      <c r="I773" s="117"/>
      <c r="J773" s="117"/>
      <c r="K773" s="117"/>
    </row>
    <row r="774" spans="1:11" s="123" customFormat="1" ht="15.75" x14ac:dyDescent="0.25">
      <c r="A774" s="117"/>
      <c r="B774" s="117"/>
      <c r="C774" s="117"/>
      <c r="D774" s="117"/>
      <c r="E774" s="117"/>
      <c r="F774" s="117"/>
      <c r="G774" s="117"/>
      <c r="H774" s="117"/>
      <c r="I774" s="117"/>
      <c r="J774" s="117"/>
      <c r="K774" s="117"/>
    </row>
    <row r="775" spans="1:11" s="123" customFormat="1" ht="15.75" x14ac:dyDescent="0.25">
      <c r="A775" s="117"/>
      <c r="B775" s="117"/>
      <c r="C775" s="117"/>
      <c r="D775" s="117"/>
      <c r="E775" s="117"/>
      <c r="F775" s="117"/>
      <c r="G775" s="117"/>
      <c r="H775" s="117"/>
      <c r="I775" s="117"/>
      <c r="J775" s="117"/>
      <c r="K775" s="117"/>
    </row>
    <row r="776" spans="1:11" s="123" customFormat="1" ht="15.75" x14ac:dyDescent="0.25">
      <c r="A776" s="117"/>
      <c r="B776" s="117"/>
      <c r="C776" s="117"/>
      <c r="D776" s="117"/>
      <c r="E776" s="117"/>
      <c r="F776" s="117"/>
      <c r="G776" s="117"/>
      <c r="H776" s="117"/>
      <c r="I776" s="117"/>
      <c r="J776" s="117"/>
      <c r="K776" s="117"/>
    </row>
    <row r="777" spans="1:11" s="123" customFormat="1" ht="15.75" x14ac:dyDescent="0.25">
      <c r="A777" s="117"/>
      <c r="B777" s="117"/>
      <c r="C777" s="117"/>
      <c r="D777" s="117"/>
      <c r="E777" s="117"/>
      <c r="F777" s="117"/>
      <c r="G777" s="117"/>
      <c r="H777" s="117"/>
      <c r="I777" s="117"/>
      <c r="J777" s="117"/>
      <c r="K777" s="117"/>
    </row>
    <row r="778" spans="1:11" s="123" customFormat="1" ht="15.75" x14ac:dyDescent="0.25">
      <c r="A778" s="117"/>
      <c r="B778" s="117"/>
      <c r="C778" s="117"/>
      <c r="D778" s="117"/>
      <c r="E778" s="117"/>
      <c r="F778" s="117"/>
      <c r="G778" s="117"/>
      <c r="H778" s="117"/>
      <c r="I778" s="117"/>
      <c r="J778" s="117"/>
      <c r="K778" s="117"/>
    </row>
    <row r="779" spans="1:11" s="123" customFormat="1" ht="15.75" x14ac:dyDescent="0.25">
      <c r="A779" s="117"/>
      <c r="B779" s="117"/>
      <c r="C779" s="117"/>
      <c r="D779" s="117"/>
      <c r="E779" s="117"/>
      <c r="F779" s="117"/>
      <c r="G779" s="117"/>
      <c r="H779" s="117"/>
      <c r="I779" s="117"/>
      <c r="J779" s="117"/>
      <c r="K779" s="117"/>
    </row>
    <row r="780" spans="1:11" s="123" customFormat="1" ht="15.75" x14ac:dyDescent="0.25">
      <c r="A780" s="117"/>
      <c r="B780" s="117"/>
      <c r="C780" s="117"/>
      <c r="D780" s="117"/>
      <c r="E780" s="117"/>
      <c r="F780" s="117"/>
      <c r="G780" s="117"/>
      <c r="H780" s="117"/>
      <c r="I780" s="117"/>
      <c r="J780" s="117"/>
      <c r="K780" s="117"/>
    </row>
    <row r="781" spans="1:11" s="123" customFormat="1" ht="15.75" x14ac:dyDescent="0.25">
      <c r="A781" s="117"/>
      <c r="B781" s="117"/>
      <c r="C781" s="117"/>
      <c r="D781" s="117"/>
      <c r="E781" s="117"/>
      <c r="F781" s="117"/>
      <c r="G781" s="117"/>
      <c r="H781" s="117"/>
      <c r="I781" s="117"/>
      <c r="J781" s="117"/>
      <c r="K781" s="117"/>
    </row>
    <row r="782" spans="1:11" s="123" customFormat="1" ht="15.75" x14ac:dyDescent="0.25">
      <c r="A782" s="117"/>
      <c r="B782" s="117"/>
      <c r="C782" s="117"/>
      <c r="D782" s="117"/>
      <c r="E782" s="117"/>
      <c r="F782" s="117"/>
      <c r="G782" s="117"/>
      <c r="H782" s="117"/>
      <c r="I782" s="117"/>
      <c r="J782" s="117"/>
      <c r="K782" s="117"/>
    </row>
    <row r="783" spans="1:11" s="123" customFormat="1" ht="15.75" x14ac:dyDescent="0.25">
      <c r="A783" s="117"/>
      <c r="B783" s="117"/>
      <c r="C783" s="117"/>
      <c r="D783" s="117"/>
      <c r="E783" s="117"/>
      <c r="F783" s="117"/>
      <c r="G783" s="117"/>
      <c r="H783" s="117"/>
      <c r="I783" s="117"/>
      <c r="J783" s="117"/>
      <c r="K783" s="117"/>
    </row>
    <row r="784" spans="1:11" s="123" customFormat="1" ht="15.75" x14ac:dyDescent="0.25">
      <c r="A784" s="117"/>
      <c r="B784" s="117"/>
      <c r="C784" s="117"/>
      <c r="D784" s="117"/>
      <c r="E784" s="117"/>
      <c r="F784" s="117"/>
      <c r="G784" s="117"/>
      <c r="H784" s="117"/>
      <c r="I784" s="117"/>
      <c r="J784" s="117"/>
      <c r="K784" s="117"/>
    </row>
    <row r="785" spans="1:11" s="123" customFormat="1" ht="15.75" x14ac:dyDescent="0.25">
      <c r="A785" s="117"/>
      <c r="B785" s="117"/>
      <c r="C785" s="117"/>
      <c r="D785" s="117"/>
      <c r="E785" s="117"/>
      <c r="F785" s="117"/>
      <c r="G785" s="117"/>
      <c r="H785" s="117"/>
      <c r="I785" s="117"/>
      <c r="J785" s="117"/>
      <c r="K785" s="117"/>
    </row>
    <row r="786" spans="1:11" s="123" customFormat="1" ht="15.75" x14ac:dyDescent="0.25">
      <c r="A786" s="117"/>
      <c r="B786" s="117"/>
      <c r="C786" s="117"/>
      <c r="D786" s="117"/>
      <c r="E786" s="117"/>
      <c r="F786" s="117"/>
      <c r="G786" s="117"/>
      <c r="H786" s="117"/>
      <c r="I786" s="117"/>
      <c r="J786" s="117"/>
      <c r="K786" s="117"/>
    </row>
    <row r="787" spans="1:11" s="123" customFormat="1" ht="15.75" x14ac:dyDescent="0.25">
      <c r="A787" s="117"/>
      <c r="B787" s="117"/>
      <c r="C787" s="117"/>
      <c r="D787" s="117"/>
      <c r="E787" s="117"/>
      <c r="F787" s="117"/>
      <c r="G787" s="117"/>
      <c r="H787" s="117"/>
      <c r="I787" s="117"/>
      <c r="J787" s="117"/>
      <c r="K787" s="117"/>
    </row>
    <row r="788" spans="1:11" s="123" customFormat="1" ht="15.75" x14ac:dyDescent="0.25">
      <c r="A788" s="117"/>
      <c r="B788" s="117"/>
      <c r="C788" s="117"/>
      <c r="D788" s="117"/>
      <c r="E788" s="117"/>
      <c r="F788" s="117"/>
      <c r="G788" s="117"/>
      <c r="H788" s="117"/>
      <c r="I788" s="117"/>
      <c r="J788" s="117"/>
      <c r="K788" s="117"/>
    </row>
    <row r="789" spans="1:11" s="123" customFormat="1" ht="15.75" x14ac:dyDescent="0.25">
      <c r="A789" s="117"/>
      <c r="B789" s="117"/>
      <c r="C789" s="117"/>
      <c r="D789" s="117"/>
      <c r="E789" s="117"/>
      <c r="F789" s="117"/>
      <c r="G789" s="117"/>
      <c r="H789" s="117"/>
      <c r="I789" s="117"/>
      <c r="J789" s="117"/>
      <c r="K789" s="117"/>
    </row>
    <row r="790" spans="1:11" s="123" customFormat="1" ht="15.75" x14ac:dyDescent="0.25">
      <c r="A790" s="117"/>
      <c r="B790" s="117"/>
      <c r="C790" s="117"/>
      <c r="D790" s="117"/>
      <c r="E790" s="117"/>
      <c r="F790" s="117"/>
      <c r="G790" s="117"/>
      <c r="H790" s="117"/>
      <c r="I790" s="117"/>
      <c r="J790" s="117"/>
      <c r="K790" s="117"/>
    </row>
    <row r="791" spans="1:11" s="123" customFormat="1" ht="15.75" x14ac:dyDescent="0.25">
      <c r="A791" s="117"/>
      <c r="B791" s="117"/>
      <c r="C791" s="117"/>
      <c r="D791" s="117"/>
      <c r="E791" s="117"/>
      <c r="F791" s="117"/>
      <c r="G791" s="117"/>
      <c r="H791" s="117"/>
      <c r="I791" s="117"/>
      <c r="J791" s="117"/>
      <c r="K791" s="117"/>
    </row>
    <row r="792" spans="1:11" s="123" customFormat="1" ht="15.75" x14ac:dyDescent="0.25">
      <c r="A792" s="117"/>
      <c r="B792" s="117"/>
      <c r="C792" s="117"/>
      <c r="D792" s="117"/>
      <c r="E792" s="117"/>
      <c r="F792" s="117"/>
      <c r="G792" s="117"/>
      <c r="H792" s="117"/>
      <c r="I792" s="117"/>
      <c r="J792" s="117"/>
      <c r="K792" s="117"/>
    </row>
    <row r="793" spans="1:11" s="123" customFormat="1" ht="15.75" x14ac:dyDescent="0.25">
      <c r="A793" s="117"/>
      <c r="B793" s="117"/>
      <c r="C793" s="117"/>
      <c r="D793" s="117"/>
      <c r="E793" s="117"/>
      <c r="F793" s="117"/>
      <c r="G793" s="117"/>
      <c r="H793" s="117"/>
      <c r="I793" s="117"/>
      <c r="J793" s="117"/>
      <c r="K793" s="117"/>
    </row>
    <row r="794" spans="1:11" s="123" customFormat="1" ht="15.75" x14ac:dyDescent="0.25">
      <c r="A794" s="117"/>
      <c r="B794" s="117"/>
      <c r="C794" s="117"/>
      <c r="D794" s="117"/>
      <c r="E794" s="117"/>
      <c r="F794" s="117"/>
      <c r="G794" s="117"/>
      <c r="H794" s="117"/>
      <c r="I794" s="117"/>
      <c r="J794" s="117"/>
      <c r="K794" s="117"/>
    </row>
    <row r="795" spans="1:11" s="123" customFormat="1" ht="15.75" x14ac:dyDescent="0.25">
      <c r="A795" s="117"/>
      <c r="B795" s="117"/>
      <c r="C795" s="117"/>
      <c r="D795" s="117"/>
      <c r="E795" s="117"/>
      <c r="F795" s="117"/>
      <c r="G795" s="117"/>
      <c r="H795" s="117"/>
      <c r="I795" s="117"/>
      <c r="J795" s="117"/>
      <c r="K795" s="117"/>
    </row>
    <row r="796" spans="1:11" s="123" customFormat="1" ht="15.75" x14ac:dyDescent="0.25">
      <c r="A796" s="117"/>
      <c r="B796" s="117"/>
      <c r="C796" s="117"/>
      <c r="D796" s="117"/>
      <c r="E796" s="117"/>
      <c r="F796" s="117"/>
      <c r="G796" s="117"/>
      <c r="H796" s="117"/>
      <c r="I796" s="117"/>
      <c r="J796" s="117"/>
      <c r="K796" s="117"/>
    </row>
    <row r="797" spans="1:11" s="123" customFormat="1" ht="15.75" x14ac:dyDescent="0.25">
      <c r="A797" s="117"/>
      <c r="B797" s="117"/>
      <c r="C797" s="117"/>
      <c r="D797" s="117"/>
      <c r="E797" s="117"/>
      <c r="F797" s="117"/>
      <c r="G797" s="117"/>
      <c r="H797" s="117"/>
      <c r="I797" s="117"/>
      <c r="J797" s="117"/>
      <c r="K797" s="117"/>
    </row>
    <row r="798" spans="1:11" s="123" customFormat="1" ht="15.75" x14ac:dyDescent="0.25">
      <c r="A798" s="117"/>
      <c r="B798" s="117"/>
      <c r="C798" s="117"/>
      <c r="D798" s="117"/>
      <c r="E798" s="117"/>
      <c r="F798" s="117"/>
      <c r="G798" s="117"/>
      <c r="H798" s="117"/>
      <c r="I798" s="117"/>
      <c r="J798" s="117"/>
      <c r="K798" s="117"/>
    </row>
    <row r="799" spans="1:11" s="123" customFormat="1" ht="15.75" x14ac:dyDescent="0.25">
      <c r="A799" s="117"/>
      <c r="B799" s="117"/>
      <c r="C799" s="117"/>
      <c r="D799" s="117"/>
      <c r="E799" s="117"/>
      <c r="F799" s="117"/>
      <c r="G799" s="117"/>
      <c r="H799" s="117"/>
      <c r="I799" s="117"/>
      <c r="J799" s="117"/>
      <c r="K799" s="117"/>
    </row>
    <row r="800" spans="1:11" s="123" customFormat="1" ht="15.75" x14ac:dyDescent="0.25">
      <c r="A800" s="117"/>
      <c r="B800" s="117"/>
      <c r="C800" s="117"/>
      <c r="D800" s="117"/>
      <c r="E800" s="117"/>
      <c r="F800" s="117"/>
      <c r="G800" s="117"/>
      <c r="H800" s="117"/>
      <c r="I800" s="117"/>
      <c r="J800" s="117"/>
      <c r="K800" s="117"/>
    </row>
    <row r="801" spans="1:11" s="123" customFormat="1" ht="15.75" x14ac:dyDescent="0.25">
      <c r="A801" s="117"/>
      <c r="B801" s="117"/>
      <c r="C801" s="117"/>
      <c r="D801" s="117"/>
      <c r="E801" s="117"/>
      <c r="F801" s="117"/>
      <c r="G801" s="117"/>
      <c r="H801" s="117"/>
      <c r="I801" s="117"/>
      <c r="J801" s="117"/>
      <c r="K801" s="117"/>
    </row>
    <row r="802" spans="1:11" s="123" customFormat="1" ht="15.75" x14ac:dyDescent="0.25">
      <c r="A802" s="117"/>
      <c r="B802" s="117"/>
      <c r="C802" s="117"/>
      <c r="D802" s="117"/>
      <c r="E802" s="117"/>
      <c r="F802" s="117"/>
      <c r="G802" s="117"/>
      <c r="H802" s="117"/>
      <c r="I802" s="117"/>
      <c r="J802" s="117"/>
      <c r="K802" s="117"/>
    </row>
    <row r="803" spans="1:11" s="123" customFormat="1" ht="15.75" x14ac:dyDescent="0.25">
      <c r="A803" s="117"/>
      <c r="B803" s="117"/>
      <c r="C803" s="117"/>
      <c r="D803" s="117"/>
      <c r="E803" s="117"/>
      <c r="F803" s="117"/>
      <c r="G803" s="117"/>
      <c r="H803" s="117"/>
      <c r="I803" s="117"/>
      <c r="J803" s="117"/>
      <c r="K803" s="117"/>
    </row>
    <row r="804" spans="1:11" s="123" customFormat="1" ht="15.75" x14ac:dyDescent="0.25">
      <c r="A804" s="117"/>
      <c r="B804" s="117"/>
      <c r="C804" s="117"/>
      <c r="D804" s="117"/>
      <c r="E804" s="117"/>
      <c r="F804" s="117"/>
      <c r="G804" s="117"/>
      <c r="H804" s="117"/>
      <c r="I804" s="117"/>
      <c r="J804" s="117"/>
      <c r="K804" s="117"/>
    </row>
    <row r="805" spans="1:11" s="123" customFormat="1" ht="15.75" x14ac:dyDescent="0.25">
      <c r="A805" s="117"/>
      <c r="B805" s="117"/>
      <c r="C805" s="117"/>
      <c r="D805" s="117"/>
      <c r="E805" s="117"/>
      <c r="F805" s="117"/>
      <c r="G805" s="117"/>
      <c r="H805" s="117"/>
      <c r="I805" s="117"/>
      <c r="J805" s="117"/>
      <c r="K805" s="117"/>
    </row>
    <row r="806" spans="1:11" s="123" customFormat="1" ht="15.75" x14ac:dyDescent="0.25">
      <c r="A806" s="117"/>
      <c r="B806" s="117"/>
      <c r="C806" s="117"/>
      <c r="D806" s="117"/>
      <c r="E806" s="117"/>
      <c r="F806" s="117"/>
      <c r="G806" s="117"/>
      <c r="H806" s="117"/>
      <c r="I806" s="117"/>
      <c r="J806" s="117"/>
      <c r="K806" s="117"/>
    </row>
    <row r="807" spans="1:11" s="123" customFormat="1" ht="15.75" x14ac:dyDescent="0.25">
      <c r="A807" s="117"/>
      <c r="B807" s="117"/>
      <c r="C807" s="117"/>
      <c r="D807" s="117"/>
      <c r="E807" s="117"/>
      <c r="F807" s="117"/>
      <c r="G807" s="117"/>
      <c r="H807" s="117"/>
      <c r="I807" s="117"/>
      <c r="J807" s="117"/>
      <c r="K807" s="117"/>
    </row>
    <row r="808" spans="1:11" s="123" customFormat="1" ht="15.75" x14ac:dyDescent="0.25">
      <c r="A808" s="117"/>
      <c r="B808" s="117"/>
      <c r="C808" s="117"/>
      <c r="D808" s="117"/>
      <c r="E808" s="117"/>
      <c r="F808" s="117"/>
      <c r="G808" s="117"/>
      <c r="H808" s="117"/>
      <c r="I808" s="117"/>
      <c r="J808" s="117"/>
      <c r="K808" s="117"/>
    </row>
    <row r="809" spans="1:11" s="123" customFormat="1" ht="15.75" x14ac:dyDescent="0.25">
      <c r="A809" s="117"/>
      <c r="B809" s="117"/>
      <c r="C809" s="117"/>
      <c r="D809" s="117"/>
      <c r="E809" s="117"/>
      <c r="F809" s="117"/>
      <c r="G809" s="117"/>
      <c r="H809" s="117"/>
      <c r="I809" s="117"/>
      <c r="J809" s="117"/>
      <c r="K809" s="117"/>
    </row>
    <row r="810" spans="1:11" s="123" customFormat="1" ht="15.75" x14ac:dyDescent="0.25">
      <c r="A810" s="117"/>
      <c r="B810" s="117"/>
      <c r="C810" s="117"/>
      <c r="D810" s="117"/>
      <c r="E810" s="117"/>
      <c r="F810" s="117"/>
      <c r="G810" s="117"/>
      <c r="H810" s="117"/>
      <c r="I810" s="117"/>
      <c r="J810" s="117"/>
      <c r="K810" s="117"/>
    </row>
    <row r="811" spans="1:11" s="123" customFormat="1" ht="15.75" x14ac:dyDescent="0.25">
      <c r="A811" s="117"/>
      <c r="B811" s="117"/>
      <c r="C811" s="117"/>
      <c r="D811" s="117"/>
      <c r="E811" s="117"/>
      <c r="F811" s="117"/>
      <c r="G811" s="117"/>
      <c r="H811" s="117"/>
      <c r="I811" s="117"/>
      <c r="J811" s="117"/>
      <c r="K811" s="117"/>
    </row>
    <row r="812" spans="1:11" s="123" customFormat="1" ht="15.75" x14ac:dyDescent="0.25">
      <c r="A812" s="117"/>
      <c r="B812" s="117"/>
      <c r="C812" s="117"/>
      <c r="D812" s="117"/>
      <c r="E812" s="117"/>
      <c r="F812" s="117"/>
      <c r="G812" s="117"/>
      <c r="H812" s="117"/>
      <c r="I812" s="117"/>
      <c r="J812" s="117"/>
      <c r="K812" s="117"/>
    </row>
    <row r="813" spans="1:11" s="123" customFormat="1" ht="15.75" x14ac:dyDescent="0.25">
      <c r="A813" s="117"/>
      <c r="B813" s="117"/>
      <c r="C813" s="117"/>
      <c r="D813" s="117"/>
      <c r="E813" s="117"/>
      <c r="F813" s="117"/>
      <c r="G813" s="117"/>
      <c r="H813" s="117"/>
      <c r="I813" s="117"/>
      <c r="J813" s="117"/>
      <c r="K813" s="117"/>
    </row>
    <row r="814" spans="1:11" s="123" customFormat="1" ht="15.75" x14ac:dyDescent="0.25">
      <c r="A814" s="117"/>
      <c r="B814" s="117"/>
      <c r="C814" s="117"/>
      <c r="D814" s="117"/>
      <c r="E814" s="117"/>
      <c r="F814" s="117"/>
      <c r="G814" s="117"/>
      <c r="H814" s="117"/>
      <c r="I814" s="117"/>
      <c r="J814" s="117"/>
      <c r="K814" s="117"/>
    </row>
    <row r="815" spans="1:11" s="123" customFormat="1" ht="15.75" x14ac:dyDescent="0.25">
      <c r="A815" s="117"/>
      <c r="B815" s="117"/>
      <c r="C815" s="117"/>
      <c r="D815" s="117"/>
      <c r="E815" s="117"/>
      <c r="F815" s="117"/>
      <c r="G815" s="117"/>
      <c r="H815" s="117"/>
      <c r="I815" s="117"/>
      <c r="J815" s="117"/>
      <c r="K815" s="117"/>
    </row>
    <row r="816" spans="1:11" s="123" customFormat="1" ht="15.75" x14ac:dyDescent="0.25">
      <c r="A816" s="117"/>
      <c r="B816" s="117"/>
      <c r="C816" s="117"/>
      <c r="D816" s="117"/>
      <c r="E816" s="117"/>
      <c r="F816" s="117"/>
      <c r="G816" s="117"/>
      <c r="H816" s="117"/>
      <c r="I816" s="117"/>
      <c r="J816" s="117"/>
      <c r="K816" s="117"/>
    </row>
    <row r="817" spans="1:11" s="123" customFormat="1" ht="15.75" x14ac:dyDescent="0.25">
      <c r="A817" s="117"/>
      <c r="B817" s="117"/>
      <c r="C817" s="117"/>
      <c r="D817" s="117"/>
      <c r="E817" s="117"/>
      <c r="F817" s="117"/>
      <c r="G817" s="117"/>
      <c r="H817" s="117"/>
      <c r="I817" s="117"/>
      <c r="J817" s="117"/>
      <c r="K817" s="117"/>
    </row>
    <row r="818" spans="1:11" s="123" customFormat="1" ht="15.75" x14ac:dyDescent="0.25">
      <c r="A818" s="117"/>
      <c r="B818" s="117"/>
      <c r="C818" s="117"/>
      <c r="D818" s="117"/>
      <c r="E818" s="117"/>
      <c r="F818" s="117"/>
      <c r="G818" s="117"/>
      <c r="H818" s="117"/>
      <c r="I818" s="117"/>
      <c r="J818" s="117"/>
      <c r="K818" s="117"/>
    </row>
    <row r="819" spans="1:11" s="123" customFormat="1" ht="15.75" x14ac:dyDescent="0.25">
      <c r="A819" s="117"/>
      <c r="B819" s="117"/>
      <c r="C819" s="117"/>
      <c r="D819" s="117"/>
      <c r="E819" s="117"/>
      <c r="F819" s="117"/>
      <c r="G819" s="117"/>
      <c r="H819" s="117"/>
      <c r="I819" s="117"/>
      <c r="J819" s="117"/>
      <c r="K819" s="117"/>
    </row>
    <row r="820" spans="1:11" s="123" customFormat="1" ht="15.75" x14ac:dyDescent="0.25">
      <c r="A820" s="117"/>
      <c r="B820" s="117"/>
      <c r="C820" s="117"/>
      <c r="D820" s="117"/>
      <c r="E820" s="117"/>
      <c r="F820" s="117"/>
      <c r="G820" s="117"/>
      <c r="H820" s="117"/>
      <c r="I820" s="117"/>
      <c r="J820" s="117"/>
      <c r="K820" s="117"/>
    </row>
    <row r="821" spans="1:11" s="123" customFormat="1" ht="15.75" x14ac:dyDescent="0.25">
      <c r="A821" s="117"/>
      <c r="B821" s="117"/>
      <c r="C821" s="117"/>
      <c r="D821" s="117"/>
      <c r="E821" s="117"/>
      <c r="F821" s="117"/>
      <c r="G821" s="117"/>
      <c r="H821" s="117"/>
      <c r="I821" s="117"/>
      <c r="J821" s="117"/>
      <c r="K821" s="117"/>
    </row>
    <row r="822" spans="1:11" s="123" customFormat="1" ht="15.75" x14ac:dyDescent="0.25">
      <c r="A822" s="117"/>
      <c r="B822" s="117"/>
      <c r="C822" s="117"/>
      <c r="D822" s="117"/>
      <c r="E822" s="117"/>
      <c r="F822" s="117"/>
      <c r="G822" s="117"/>
      <c r="H822" s="117"/>
      <c r="I822" s="117"/>
      <c r="J822" s="117"/>
      <c r="K822" s="117"/>
    </row>
    <row r="823" spans="1:11" s="123" customFormat="1" ht="15.75" x14ac:dyDescent="0.25">
      <c r="A823" s="117"/>
      <c r="B823" s="117"/>
      <c r="C823" s="117"/>
      <c r="D823" s="117"/>
      <c r="E823" s="117"/>
      <c r="F823" s="117"/>
      <c r="G823" s="117"/>
      <c r="H823" s="117"/>
      <c r="I823" s="117"/>
      <c r="J823" s="117"/>
      <c r="K823" s="117"/>
    </row>
    <row r="824" spans="1:11" s="123" customFormat="1" ht="15.75" x14ac:dyDescent="0.25">
      <c r="A824" s="117"/>
      <c r="B824" s="117"/>
      <c r="C824" s="117"/>
      <c r="D824" s="117"/>
      <c r="E824" s="117"/>
      <c r="F824" s="117"/>
      <c r="G824" s="117"/>
      <c r="H824" s="117"/>
      <c r="I824" s="117"/>
      <c r="J824" s="117"/>
      <c r="K824" s="117"/>
    </row>
    <row r="825" spans="1:11" s="123" customFormat="1" ht="15.75" x14ac:dyDescent="0.25">
      <c r="A825" s="117"/>
      <c r="B825" s="117"/>
      <c r="C825" s="117"/>
      <c r="D825" s="117"/>
      <c r="E825" s="117"/>
      <c r="F825" s="117"/>
      <c r="G825" s="117"/>
      <c r="H825" s="117"/>
      <c r="I825" s="117"/>
      <c r="J825" s="117"/>
      <c r="K825" s="117"/>
    </row>
    <row r="826" spans="1:11" s="123" customFormat="1" ht="15.75" x14ac:dyDescent="0.25">
      <c r="A826" s="117"/>
      <c r="B826" s="117"/>
      <c r="C826" s="117"/>
      <c r="D826" s="117"/>
      <c r="E826" s="117"/>
      <c r="F826" s="117"/>
      <c r="G826" s="117"/>
      <c r="H826" s="117"/>
      <c r="I826" s="117"/>
      <c r="J826" s="117"/>
      <c r="K826" s="117"/>
    </row>
    <row r="827" spans="1:11" s="123" customFormat="1" ht="15.75" x14ac:dyDescent="0.25">
      <c r="A827" s="117"/>
      <c r="B827" s="117"/>
      <c r="C827" s="117"/>
      <c r="D827" s="117"/>
      <c r="E827" s="117"/>
      <c r="F827" s="117"/>
      <c r="G827" s="117"/>
      <c r="H827" s="117"/>
      <c r="I827" s="117"/>
      <c r="J827" s="117"/>
      <c r="K827" s="117"/>
    </row>
    <row r="828" spans="1:11" s="123" customFormat="1" ht="15.75" x14ac:dyDescent="0.25">
      <c r="A828" s="117"/>
      <c r="B828" s="117"/>
      <c r="C828" s="117"/>
      <c r="D828" s="117"/>
      <c r="E828" s="117"/>
      <c r="F828" s="117"/>
      <c r="G828" s="117"/>
      <c r="H828" s="117"/>
      <c r="I828" s="117"/>
      <c r="J828" s="117"/>
      <c r="K828" s="117"/>
    </row>
    <row r="829" spans="1:11" s="123" customFormat="1" ht="15.75" x14ac:dyDescent="0.25">
      <c r="A829" s="117"/>
      <c r="B829" s="117"/>
      <c r="C829" s="117"/>
      <c r="D829" s="117"/>
      <c r="E829" s="117"/>
      <c r="F829" s="117"/>
      <c r="G829" s="117"/>
      <c r="H829" s="117"/>
      <c r="I829" s="117"/>
      <c r="J829" s="117"/>
      <c r="K829" s="117"/>
    </row>
    <row r="830" spans="1:11" s="123" customFormat="1" ht="15.75" x14ac:dyDescent="0.25">
      <c r="A830" s="117"/>
      <c r="B830" s="117"/>
      <c r="C830" s="117"/>
      <c r="D830" s="117"/>
      <c r="E830" s="117"/>
      <c r="F830" s="117"/>
      <c r="G830" s="117"/>
      <c r="H830" s="117"/>
      <c r="I830" s="117"/>
      <c r="J830" s="117"/>
      <c r="K830" s="117"/>
    </row>
    <row r="831" spans="1:11" s="123" customFormat="1" ht="15.75" x14ac:dyDescent="0.25">
      <c r="A831" s="117"/>
      <c r="B831" s="117"/>
      <c r="C831" s="117"/>
      <c r="D831" s="117"/>
      <c r="E831" s="117"/>
      <c r="F831" s="117"/>
      <c r="G831" s="117"/>
      <c r="H831" s="117"/>
      <c r="I831" s="117"/>
      <c r="J831" s="117"/>
      <c r="K831" s="117"/>
    </row>
    <row r="832" spans="1:11" s="123" customFormat="1" ht="15.75" x14ac:dyDescent="0.25">
      <c r="A832" s="117"/>
      <c r="B832" s="117"/>
      <c r="C832" s="117"/>
      <c r="D832" s="117"/>
      <c r="E832" s="117"/>
      <c r="F832" s="117"/>
      <c r="G832" s="117"/>
      <c r="H832" s="117"/>
      <c r="I832" s="117"/>
      <c r="J832" s="117"/>
      <c r="K832" s="117"/>
    </row>
    <row r="833" spans="1:11" s="123" customFormat="1" ht="15.75" x14ac:dyDescent="0.25">
      <c r="A833" s="117"/>
      <c r="B833" s="117"/>
      <c r="C833" s="117"/>
      <c r="D833" s="117"/>
      <c r="E833" s="117"/>
      <c r="F833" s="117"/>
      <c r="G833" s="117"/>
      <c r="H833" s="117"/>
      <c r="I833" s="117"/>
      <c r="J833" s="117"/>
      <c r="K833" s="117"/>
    </row>
    <row r="834" spans="1:11" s="123" customFormat="1" ht="15.75" x14ac:dyDescent="0.25">
      <c r="A834" s="117"/>
      <c r="B834" s="117"/>
      <c r="C834" s="117"/>
      <c r="D834" s="117"/>
      <c r="E834" s="117"/>
      <c r="F834" s="117"/>
      <c r="G834" s="117"/>
      <c r="H834" s="117"/>
      <c r="I834" s="117"/>
      <c r="J834" s="117"/>
      <c r="K834" s="117"/>
    </row>
    <row r="835" spans="1:11" s="123" customFormat="1" ht="15.75" x14ac:dyDescent="0.25">
      <c r="A835" s="117"/>
      <c r="B835" s="117"/>
      <c r="C835" s="117"/>
      <c r="D835" s="117"/>
      <c r="E835" s="117"/>
      <c r="F835" s="117"/>
      <c r="G835" s="117"/>
      <c r="H835" s="117"/>
      <c r="I835" s="117"/>
      <c r="J835" s="117"/>
      <c r="K835" s="117"/>
    </row>
    <row r="836" spans="1:11" s="123" customFormat="1" ht="15.75" x14ac:dyDescent="0.25">
      <c r="A836" s="117"/>
      <c r="B836" s="117"/>
      <c r="C836" s="117"/>
      <c r="D836" s="117"/>
      <c r="E836" s="117"/>
      <c r="F836" s="117"/>
      <c r="G836" s="117"/>
      <c r="H836" s="117"/>
      <c r="I836" s="117"/>
      <c r="J836" s="117"/>
      <c r="K836" s="117"/>
    </row>
    <row r="837" spans="1:11" s="123" customFormat="1" ht="15.75" x14ac:dyDescent="0.25">
      <c r="A837" s="117"/>
      <c r="B837" s="117"/>
      <c r="C837" s="117"/>
      <c r="D837" s="117"/>
      <c r="E837" s="117"/>
      <c r="F837" s="117"/>
      <c r="G837" s="117"/>
      <c r="H837" s="117"/>
      <c r="I837" s="117"/>
      <c r="J837" s="117"/>
      <c r="K837" s="117"/>
    </row>
    <row r="838" spans="1:11" s="123" customFormat="1" ht="15.75" x14ac:dyDescent="0.25">
      <c r="A838" s="117"/>
      <c r="B838" s="117"/>
      <c r="C838" s="117"/>
      <c r="D838" s="117"/>
      <c r="E838" s="117"/>
      <c r="F838" s="117"/>
      <c r="G838" s="117"/>
      <c r="H838" s="117"/>
      <c r="I838" s="117"/>
      <c r="J838" s="117"/>
      <c r="K838" s="117"/>
    </row>
    <row r="839" spans="1:11" s="123" customFormat="1" ht="15.75" x14ac:dyDescent="0.25">
      <c r="A839" s="117"/>
      <c r="B839" s="117"/>
      <c r="C839" s="117"/>
      <c r="D839" s="117"/>
      <c r="E839" s="117"/>
      <c r="F839" s="117"/>
      <c r="G839" s="117"/>
      <c r="H839" s="117"/>
      <c r="I839" s="117"/>
      <c r="J839" s="117"/>
      <c r="K839" s="117"/>
    </row>
    <row r="840" spans="1:11" s="123" customFormat="1" ht="15.75" x14ac:dyDescent="0.25">
      <c r="A840" s="117"/>
      <c r="B840" s="117"/>
      <c r="C840" s="117"/>
      <c r="D840" s="117"/>
      <c r="E840" s="117"/>
      <c r="F840" s="117"/>
      <c r="G840" s="117"/>
      <c r="H840" s="117"/>
      <c r="I840" s="117"/>
      <c r="J840" s="117"/>
      <c r="K840" s="117"/>
    </row>
    <row r="841" spans="1:11" s="123" customFormat="1" ht="15.75" x14ac:dyDescent="0.25">
      <c r="A841" s="117"/>
      <c r="B841" s="117"/>
      <c r="C841" s="117"/>
      <c r="D841" s="117"/>
      <c r="E841" s="117"/>
      <c r="F841" s="117"/>
      <c r="G841" s="117"/>
      <c r="H841" s="117"/>
      <c r="I841" s="117"/>
      <c r="J841" s="117"/>
      <c r="K841" s="117"/>
    </row>
    <row r="842" spans="1:11" s="123" customFormat="1" ht="15.75" x14ac:dyDescent="0.25">
      <c r="A842" s="117"/>
      <c r="B842" s="117"/>
      <c r="C842" s="117"/>
      <c r="D842" s="117"/>
      <c r="E842" s="117"/>
      <c r="F842" s="117"/>
      <c r="G842" s="117"/>
      <c r="H842" s="117"/>
      <c r="I842" s="117"/>
      <c r="J842" s="117"/>
      <c r="K842" s="117"/>
    </row>
    <row r="843" spans="1:11" s="123" customFormat="1" ht="15.75" x14ac:dyDescent="0.25">
      <c r="A843" s="117"/>
      <c r="B843" s="117"/>
      <c r="C843" s="117"/>
      <c r="D843" s="117"/>
      <c r="E843" s="117"/>
      <c r="F843" s="117"/>
      <c r="G843" s="117"/>
      <c r="H843" s="117"/>
      <c r="I843" s="117"/>
      <c r="J843" s="117"/>
      <c r="K843" s="117"/>
    </row>
    <row r="844" spans="1:11" s="123" customFormat="1" ht="15.75" x14ac:dyDescent="0.25">
      <c r="A844" s="117"/>
      <c r="B844" s="117"/>
      <c r="C844" s="117"/>
      <c r="D844" s="117"/>
      <c r="E844" s="117"/>
      <c r="F844" s="117"/>
      <c r="G844" s="117"/>
      <c r="H844" s="117"/>
      <c r="I844" s="117"/>
      <c r="J844" s="117"/>
      <c r="K844" s="117"/>
    </row>
    <row r="845" spans="1:11" s="123" customFormat="1" ht="15.75" x14ac:dyDescent="0.25">
      <c r="A845" s="117"/>
      <c r="B845" s="117"/>
      <c r="C845" s="117"/>
      <c r="D845" s="117"/>
      <c r="E845" s="117"/>
      <c r="F845" s="117"/>
      <c r="G845" s="117"/>
      <c r="H845" s="117"/>
      <c r="I845" s="117"/>
      <c r="J845" s="117"/>
      <c r="K845" s="117"/>
    </row>
    <row r="846" spans="1:11" s="123" customFormat="1" ht="15.75" x14ac:dyDescent="0.25">
      <c r="A846" s="117"/>
      <c r="B846" s="117"/>
      <c r="C846" s="117"/>
      <c r="D846" s="117"/>
      <c r="E846" s="117"/>
      <c r="F846" s="117"/>
      <c r="G846" s="117"/>
      <c r="H846" s="117"/>
      <c r="I846" s="117"/>
      <c r="J846" s="117"/>
      <c r="K846" s="117"/>
    </row>
    <row r="847" spans="1:11" s="123" customFormat="1" ht="15.75" x14ac:dyDescent="0.25">
      <c r="A847" s="117"/>
      <c r="B847" s="117"/>
      <c r="C847" s="117"/>
      <c r="D847" s="117"/>
      <c r="E847" s="117"/>
      <c r="F847" s="117"/>
      <c r="G847" s="117"/>
      <c r="H847" s="117"/>
      <c r="I847" s="117"/>
      <c r="J847" s="117"/>
      <c r="K847" s="117"/>
    </row>
    <row r="848" spans="1:11" s="123" customFormat="1" ht="15.75" x14ac:dyDescent="0.25">
      <c r="A848" s="117"/>
      <c r="B848" s="117"/>
      <c r="C848" s="117"/>
      <c r="D848" s="117"/>
      <c r="E848" s="117"/>
      <c r="F848" s="117"/>
      <c r="G848" s="117"/>
      <c r="H848" s="117"/>
      <c r="I848" s="117"/>
      <c r="J848" s="117"/>
      <c r="K848" s="117"/>
    </row>
    <row r="849" spans="1:11" s="123" customFormat="1" ht="15.75" x14ac:dyDescent="0.25">
      <c r="A849" s="117"/>
      <c r="B849" s="117"/>
      <c r="C849" s="117"/>
      <c r="D849" s="117"/>
      <c r="E849" s="117"/>
      <c r="F849" s="117"/>
      <c r="G849" s="117"/>
      <c r="H849" s="117"/>
      <c r="I849" s="117"/>
      <c r="J849" s="117"/>
      <c r="K849" s="117"/>
    </row>
    <row r="850" spans="1:11" s="123" customFormat="1" ht="15.75" x14ac:dyDescent="0.25">
      <c r="A850" s="117"/>
      <c r="B850" s="117"/>
      <c r="C850" s="117"/>
      <c r="D850" s="117"/>
      <c r="E850" s="117"/>
      <c r="F850" s="117"/>
      <c r="G850" s="117"/>
      <c r="H850" s="117"/>
      <c r="I850" s="117"/>
      <c r="J850" s="117"/>
      <c r="K850" s="117"/>
    </row>
    <row r="1061" spans="1:11" ht="14.25" x14ac:dyDescent="0.25">
      <c r="H1061" s="124"/>
    </row>
    <row r="1062" spans="1:11" ht="14.25" x14ac:dyDescent="0.25">
      <c r="H1062" s="124"/>
    </row>
    <row r="1063" spans="1:11" ht="14.25" x14ac:dyDescent="0.25">
      <c r="H1063" s="124"/>
    </row>
    <row r="1064" spans="1:11" ht="14.25" x14ac:dyDescent="0.25">
      <c r="H1064" s="124"/>
    </row>
    <row r="1070" spans="1:11" s="123" customFormat="1" ht="15.75" x14ac:dyDescent="0.25">
      <c r="A1070" s="117"/>
      <c r="B1070" s="117"/>
      <c r="C1070" s="117"/>
      <c r="D1070" s="117"/>
      <c r="E1070" s="117"/>
      <c r="F1070" s="117"/>
      <c r="G1070" s="117"/>
      <c r="H1070" s="117"/>
      <c r="I1070" s="117"/>
      <c r="J1070" s="117"/>
      <c r="K1070" s="117"/>
    </row>
    <row r="1071" spans="1:11" s="123" customFormat="1" ht="15.75" x14ac:dyDescent="0.25">
      <c r="A1071" s="117"/>
      <c r="B1071" s="117"/>
      <c r="C1071" s="117"/>
      <c r="D1071" s="117"/>
      <c r="E1071" s="117"/>
      <c r="F1071" s="117"/>
      <c r="G1071" s="117"/>
      <c r="H1071" s="117"/>
      <c r="I1071" s="117"/>
      <c r="J1071" s="117"/>
      <c r="K1071" s="117"/>
    </row>
    <row r="1072" spans="1:11" s="123" customFormat="1" ht="15.75" x14ac:dyDescent="0.25">
      <c r="A1072" s="117"/>
      <c r="B1072" s="117"/>
      <c r="C1072" s="117"/>
      <c r="D1072" s="117"/>
      <c r="E1072" s="117"/>
      <c r="F1072" s="117"/>
      <c r="G1072" s="117"/>
      <c r="H1072" s="117"/>
      <c r="I1072" s="117"/>
      <c r="J1072" s="117"/>
      <c r="K1072" s="117"/>
    </row>
    <row r="1073" spans="1:11" s="123" customFormat="1" ht="15.75" x14ac:dyDescent="0.25">
      <c r="A1073" s="117"/>
      <c r="B1073" s="117"/>
      <c r="C1073" s="117"/>
      <c r="D1073" s="117"/>
      <c r="E1073" s="117"/>
      <c r="F1073" s="117"/>
      <c r="G1073" s="117"/>
      <c r="H1073" s="117"/>
      <c r="I1073" s="117"/>
      <c r="J1073" s="117"/>
      <c r="K1073" s="117"/>
    </row>
    <row r="1074" spans="1:11" s="123" customFormat="1" ht="15.75" x14ac:dyDescent="0.25">
      <c r="A1074" s="117"/>
      <c r="B1074" s="117"/>
      <c r="C1074" s="117"/>
      <c r="D1074" s="117"/>
      <c r="E1074" s="117"/>
      <c r="F1074" s="117"/>
      <c r="G1074" s="117"/>
      <c r="H1074" s="117"/>
      <c r="I1074" s="117"/>
      <c r="J1074" s="117"/>
      <c r="K1074" s="117"/>
    </row>
    <row r="1075" spans="1:11" s="123" customFormat="1" ht="15.75" x14ac:dyDescent="0.25">
      <c r="A1075" s="117"/>
      <c r="B1075" s="117"/>
      <c r="C1075" s="117"/>
      <c r="D1075" s="117"/>
      <c r="E1075" s="117"/>
      <c r="F1075" s="117"/>
      <c r="G1075" s="117"/>
      <c r="H1075" s="117"/>
      <c r="I1075" s="117"/>
      <c r="J1075" s="117"/>
      <c r="K1075" s="117"/>
    </row>
    <row r="1076" spans="1:11" s="123" customFormat="1" ht="15.75" x14ac:dyDescent="0.25">
      <c r="A1076" s="117"/>
      <c r="B1076" s="117"/>
      <c r="C1076" s="117"/>
      <c r="D1076" s="117"/>
      <c r="E1076" s="117"/>
      <c r="F1076" s="117"/>
      <c r="G1076" s="117"/>
      <c r="H1076" s="117"/>
      <c r="I1076" s="117"/>
      <c r="J1076" s="117"/>
      <c r="K1076" s="117"/>
    </row>
    <row r="1077" spans="1:11" s="123" customFormat="1" ht="15.75" x14ac:dyDescent="0.25">
      <c r="A1077" s="117"/>
      <c r="B1077" s="117"/>
      <c r="C1077" s="117"/>
      <c r="D1077" s="117"/>
      <c r="E1077" s="117"/>
      <c r="F1077" s="117"/>
      <c r="G1077" s="117"/>
      <c r="H1077" s="117"/>
      <c r="I1077" s="117"/>
      <c r="J1077" s="117"/>
      <c r="K1077" s="117"/>
    </row>
    <row r="1078" spans="1:11" s="123" customFormat="1" ht="15.75" x14ac:dyDescent="0.25">
      <c r="A1078" s="117"/>
      <c r="B1078" s="117"/>
      <c r="C1078" s="117"/>
      <c r="D1078" s="117"/>
      <c r="E1078" s="117"/>
      <c r="F1078" s="117"/>
      <c r="G1078" s="117"/>
      <c r="H1078" s="117"/>
      <c r="I1078" s="117"/>
      <c r="J1078" s="117"/>
      <c r="K1078" s="117"/>
    </row>
    <row r="1079" spans="1:11" s="123" customFormat="1" ht="15.75" x14ac:dyDescent="0.25">
      <c r="A1079" s="117"/>
      <c r="B1079" s="117"/>
      <c r="C1079" s="117"/>
      <c r="D1079" s="117"/>
      <c r="E1079" s="117"/>
      <c r="F1079" s="117"/>
      <c r="G1079" s="117"/>
      <c r="H1079" s="117"/>
      <c r="I1079" s="117"/>
      <c r="J1079" s="117"/>
      <c r="K1079" s="117"/>
    </row>
    <row r="1080" spans="1:11" s="123" customFormat="1" ht="15.75" x14ac:dyDescent="0.25">
      <c r="A1080" s="117"/>
      <c r="B1080" s="117"/>
      <c r="C1080" s="117"/>
      <c r="D1080" s="117"/>
      <c r="E1080" s="117"/>
      <c r="F1080" s="117"/>
      <c r="G1080" s="117"/>
      <c r="H1080" s="117"/>
      <c r="I1080" s="117"/>
      <c r="J1080" s="117"/>
      <c r="K1080" s="117"/>
    </row>
    <row r="1081" spans="1:11" s="123" customFormat="1" ht="15.75" x14ac:dyDescent="0.25">
      <c r="A1081" s="117"/>
      <c r="B1081" s="117"/>
      <c r="C1081" s="117"/>
      <c r="D1081" s="117"/>
      <c r="E1081" s="117"/>
      <c r="F1081" s="117"/>
      <c r="G1081" s="117"/>
      <c r="H1081" s="117"/>
      <c r="I1081" s="117"/>
      <c r="J1081" s="117"/>
      <c r="K1081" s="117"/>
    </row>
    <row r="1082" spans="1:11" s="123" customFormat="1" ht="15.75" x14ac:dyDescent="0.25">
      <c r="A1082" s="117"/>
      <c r="B1082" s="117"/>
      <c r="C1082" s="117"/>
      <c r="D1082" s="117"/>
      <c r="E1082" s="117"/>
      <c r="F1082" s="117"/>
      <c r="G1082" s="117"/>
      <c r="H1082" s="117"/>
      <c r="I1082" s="117"/>
      <c r="J1082" s="117"/>
      <c r="K1082" s="117"/>
    </row>
    <row r="1083" spans="1:11" s="123" customFormat="1" ht="15.75" x14ac:dyDescent="0.25">
      <c r="A1083" s="117"/>
      <c r="B1083" s="117"/>
      <c r="C1083" s="117"/>
      <c r="D1083" s="117"/>
      <c r="E1083" s="117"/>
      <c r="F1083" s="117"/>
      <c r="G1083" s="117"/>
      <c r="H1083" s="117"/>
      <c r="I1083" s="117"/>
      <c r="J1083" s="117"/>
      <c r="K1083" s="117"/>
    </row>
    <row r="1084" spans="1:11" s="123" customFormat="1" ht="15.75" x14ac:dyDescent="0.25">
      <c r="A1084" s="117"/>
      <c r="B1084" s="117"/>
      <c r="C1084" s="117"/>
      <c r="D1084" s="117"/>
      <c r="E1084" s="117"/>
      <c r="F1084" s="117"/>
      <c r="G1084" s="117"/>
      <c r="H1084" s="117"/>
      <c r="I1084" s="117"/>
      <c r="J1084" s="117"/>
      <c r="K1084" s="117"/>
    </row>
    <row r="1085" spans="1:11" s="123" customFormat="1" ht="15.75" x14ac:dyDescent="0.25">
      <c r="A1085" s="117"/>
      <c r="B1085" s="117"/>
      <c r="C1085" s="117"/>
      <c r="D1085" s="117"/>
      <c r="E1085" s="117"/>
      <c r="F1085" s="117"/>
      <c r="G1085" s="117"/>
      <c r="H1085" s="117"/>
      <c r="I1085" s="117"/>
      <c r="J1085" s="117"/>
      <c r="K1085" s="117"/>
    </row>
    <row r="1086" spans="1:11" s="123" customFormat="1" ht="15.75" x14ac:dyDescent="0.25">
      <c r="A1086" s="117"/>
      <c r="B1086" s="117"/>
      <c r="C1086" s="117"/>
      <c r="D1086" s="117"/>
      <c r="E1086" s="117"/>
      <c r="F1086" s="117"/>
      <c r="G1086" s="117"/>
      <c r="H1086" s="117"/>
      <c r="I1086" s="117"/>
      <c r="J1086" s="117"/>
      <c r="K1086" s="117"/>
    </row>
    <row r="1087" spans="1:11" s="123" customFormat="1" ht="15.75" x14ac:dyDescent="0.25">
      <c r="A1087" s="117"/>
      <c r="B1087" s="117"/>
      <c r="C1087" s="117"/>
      <c r="D1087" s="117"/>
      <c r="E1087" s="117"/>
      <c r="F1087" s="117"/>
      <c r="G1087" s="117"/>
      <c r="H1087" s="117"/>
      <c r="I1087" s="117"/>
      <c r="J1087" s="117"/>
      <c r="K1087" s="117"/>
    </row>
    <row r="1088" spans="1:11" s="123" customFormat="1" ht="15.75" x14ac:dyDescent="0.25">
      <c r="A1088" s="117"/>
      <c r="B1088" s="117"/>
      <c r="C1088" s="117"/>
      <c r="D1088" s="117"/>
      <c r="E1088" s="117"/>
      <c r="F1088" s="117"/>
      <c r="G1088" s="117"/>
      <c r="H1088" s="117"/>
      <c r="I1088" s="117"/>
      <c r="J1088" s="117"/>
      <c r="K1088" s="117"/>
    </row>
    <row r="1089" spans="1:11" s="123" customFormat="1" ht="15.75" x14ac:dyDescent="0.25">
      <c r="A1089" s="117"/>
      <c r="B1089" s="117"/>
      <c r="C1089" s="117"/>
      <c r="D1089" s="117"/>
      <c r="E1089" s="117"/>
      <c r="F1089" s="117"/>
      <c r="G1089" s="117"/>
      <c r="H1089" s="117"/>
      <c r="I1089" s="117"/>
      <c r="J1089" s="117"/>
      <c r="K1089" s="117"/>
    </row>
    <row r="1090" spans="1:11" s="123" customFormat="1" ht="15.75" x14ac:dyDescent="0.25">
      <c r="A1090" s="117"/>
      <c r="B1090" s="117"/>
      <c r="C1090" s="117"/>
      <c r="D1090" s="117"/>
      <c r="E1090" s="117"/>
      <c r="F1090" s="117"/>
      <c r="G1090" s="117"/>
      <c r="H1090" s="117"/>
      <c r="I1090" s="117"/>
      <c r="J1090" s="117"/>
      <c r="K1090" s="117"/>
    </row>
    <row r="1091" spans="1:11" s="123" customFormat="1" ht="15.75" x14ac:dyDescent="0.25">
      <c r="A1091" s="117"/>
      <c r="B1091" s="117"/>
      <c r="C1091" s="117"/>
      <c r="D1091" s="117"/>
      <c r="E1091" s="117"/>
      <c r="F1091" s="117"/>
      <c r="G1091" s="117"/>
      <c r="H1091" s="117"/>
      <c r="I1091" s="117"/>
      <c r="J1091" s="117"/>
      <c r="K1091" s="117"/>
    </row>
    <row r="1092" spans="1:11" s="123" customFormat="1" ht="15.75" x14ac:dyDescent="0.25">
      <c r="A1092" s="117"/>
      <c r="B1092" s="117"/>
      <c r="C1092" s="117"/>
      <c r="D1092" s="117"/>
      <c r="E1092" s="117"/>
      <c r="F1092" s="117"/>
      <c r="G1092" s="117"/>
      <c r="H1092" s="117"/>
      <c r="I1092" s="117"/>
      <c r="J1092" s="117"/>
      <c r="K1092" s="117"/>
    </row>
    <row r="1093" spans="1:11" s="123" customFormat="1" ht="15.75" x14ac:dyDescent="0.25">
      <c r="A1093" s="117"/>
      <c r="B1093" s="117"/>
      <c r="C1093" s="117"/>
      <c r="D1093" s="117"/>
      <c r="E1093" s="117"/>
      <c r="F1093" s="117"/>
      <c r="G1093" s="117"/>
      <c r="H1093" s="117"/>
      <c r="I1093" s="117"/>
      <c r="J1093" s="117"/>
      <c r="K1093" s="117"/>
    </row>
    <row r="1094" spans="1:11" s="123" customFormat="1" ht="15.75" x14ac:dyDescent="0.25">
      <c r="A1094" s="117"/>
      <c r="B1094" s="117"/>
      <c r="C1094" s="117"/>
      <c r="D1094" s="117"/>
      <c r="E1094" s="117"/>
      <c r="F1094" s="117"/>
      <c r="G1094" s="117"/>
      <c r="H1094" s="117"/>
      <c r="I1094" s="117"/>
      <c r="J1094" s="117"/>
      <c r="K1094" s="117"/>
    </row>
    <row r="1095" spans="1:11" s="123" customFormat="1" ht="15.75" x14ac:dyDescent="0.25">
      <c r="A1095" s="117"/>
      <c r="B1095" s="117"/>
      <c r="C1095" s="117"/>
      <c r="D1095" s="117"/>
      <c r="E1095" s="117"/>
      <c r="F1095" s="117"/>
      <c r="G1095" s="117"/>
      <c r="H1095" s="117"/>
      <c r="I1095" s="117"/>
      <c r="J1095" s="117"/>
      <c r="K1095" s="117"/>
    </row>
    <row r="1096" spans="1:11" s="123" customFormat="1" ht="15.75" x14ac:dyDescent="0.25">
      <c r="A1096" s="117"/>
      <c r="B1096" s="117"/>
      <c r="C1096" s="117"/>
      <c r="D1096" s="117"/>
      <c r="E1096" s="117"/>
      <c r="F1096" s="117"/>
      <c r="G1096" s="117"/>
      <c r="H1096" s="117"/>
      <c r="I1096" s="117"/>
      <c r="J1096" s="117"/>
      <c r="K1096" s="117"/>
    </row>
    <row r="1097" spans="1:11" s="123" customFormat="1" ht="15.75" x14ac:dyDescent="0.25">
      <c r="A1097" s="117"/>
      <c r="B1097" s="117"/>
      <c r="C1097" s="117"/>
      <c r="D1097" s="117"/>
      <c r="E1097" s="117"/>
      <c r="F1097" s="117"/>
      <c r="G1097" s="117"/>
      <c r="H1097" s="117"/>
      <c r="I1097" s="117"/>
      <c r="J1097" s="117"/>
      <c r="K1097" s="117"/>
    </row>
    <row r="1098" spans="1:11" s="123" customFormat="1" ht="15.75" x14ac:dyDescent="0.25">
      <c r="A1098" s="117"/>
      <c r="B1098" s="117"/>
      <c r="C1098" s="117"/>
      <c r="D1098" s="117"/>
      <c r="E1098" s="117"/>
      <c r="F1098" s="117"/>
      <c r="G1098" s="117"/>
      <c r="H1098" s="117"/>
      <c r="I1098" s="117"/>
      <c r="J1098" s="117"/>
      <c r="K1098" s="117"/>
    </row>
    <row r="1099" spans="1:11" s="123" customFormat="1" ht="15.75" x14ac:dyDescent="0.25">
      <c r="A1099" s="117"/>
      <c r="B1099" s="117"/>
      <c r="C1099" s="117"/>
      <c r="D1099" s="117"/>
      <c r="E1099" s="117"/>
      <c r="F1099" s="117"/>
      <c r="G1099" s="117"/>
      <c r="H1099" s="117"/>
      <c r="I1099" s="117"/>
      <c r="J1099" s="117"/>
      <c r="K1099" s="117"/>
    </row>
    <row r="1100" spans="1:11" s="123" customFormat="1" ht="15.75" x14ac:dyDescent="0.25">
      <c r="A1100" s="117"/>
      <c r="B1100" s="117"/>
      <c r="C1100" s="117"/>
      <c r="D1100" s="117"/>
      <c r="E1100" s="117"/>
      <c r="F1100" s="117"/>
      <c r="G1100" s="117"/>
      <c r="H1100" s="117"/>
      <c r="I1100" s="117"/>
      <c r="J1100" s="117"/>
      <c r="K1100" s="117"/>
    </row>
    <row r="1101" spans="1:11" s="123" customFormat="1" ht="15.75" x14ac:dyDescent="0.25">
      <c r="A1101" s="117"/>
      <c r="B1101" s="117"/>
      <c r="C1101" s="117"/>
      <c r="D1101" s="117"/>
      <c r="E1101" s="117"/>
      <c r="F1101" s="117"/>
      <c r="G1101" s="117"/>
      <c r="H1101" s="117"/>
      <c r="I1101" s="117"/>
      <c r="J1101" s="117"/>
      <c r="K1101" s="117"/>
    </row>
    <row r="1102" spans="1:11" s="123" customFormat="1" ht="15.75" x14ac:dyDescent="0.25">
      <c r="A1102" s="117"/>
      <c r="B1102" s="117"/>
      <c r="C1102" s="117"/>
      <c r="D1102" s="117"/>
      <c r="E1102" s="117"/>
      <c r="F1102" s="117"/>
      <c r="G1102" s="117"/>
      <c r="H1102" s="117"/>
      <c r="I1102" s="117"/>
      <c r="J1102" s="117"/>
      <c r="K1102" s="117"/>
    </row>
    <row r="1103" spans="1:11" s="123" customFormat="1" ht="15.75" x14ac:dyDescent="0.25">
      <c r="A1103" s="117"/>
      <c r="B1103" s="117"/>
      <c r="C1103" s="117"/>
      <c r="D1103" s="117"/>
      <c r="E1103" s="117"/>
      <c r="F1103" s="117"/>
      <c r="G1103" s="117"/>
      <c r="H1103" s="117"/>
      <c r="I1103" s="117"/>
      <c r="J1103" s="117"/>
      <c r="K1103" s="117"/>
    </row>
    <row r="1104" spans="1:11" s="123" customFormat="1" ht="15.75" x14ac:dyDescent="0.25">
      <c r="A1104" s="117"/>
      <c r="B1104" s="117"/>
      <c r="C1104" s="117"/>
      <c r="D1104" s="117"/>
      <c r="E1104" s="117"/>
      <c r="F1104" s="117"/>
      <c r="G1104" s="117"/>
      <c r="H1104" s="117"/>
      <c r="I1104" s="117"/>
      <c r="J1104" s="117"/>
      <c r="K1104" s="117"/>
    </row>
    <row r="1105" spans="1:11" s="123" customFormat="1" ht="15.75" x14ac:dyDescent="0.25">
      <c r="A1105" s="117"/>
      <c r="B1105" s="117"/>
      <c r="C1105" s="117"/>
      <c r="D1105" s="117"/>
      <c r="E1105" s="117"/>
      <c r="F1105" s="117"/>
      <c r="G1105" s="117"/>
      <c r="H1105" s="117"/>
      <c r="I1105" s="117"/>
      <c r="J1105" s="117"/>
      <c r="K1105" s="117"/>
    </row>
    <row r="1106" spans="1:11" s="123" customFormat="1" ht="15.75" x14ac:dyDescent="0.25">
      <c r="A1106" s="117"/>
      <c r="B1106" s="117"/>
      <c r="C1106" s="117"/>
      <c r="D1106" s="117"/>
      <c r="E1106" s="117"/>
      <c r="F1106" s="117"/>
      <c r="G1106" s="117"/>
      <c r="H1106" s="117"/>
      <c r="I1106" s="117"/>
      <c r="J1106" s="117"/>
      <c r="K1106" s="117"/>
    </row>
    <row r="1107" spans="1:11" s="123" customFormat="1" ht="15.75" x14ac:dyDescent="0.25">
      <c r="A1107" s="117"/>
      <c r="B1107" s="117"/>
      <c r="C1107" s="117"/>
      <c r="D1107" s="117"/>
      <c r="E1107" s="117"/>
      <c r="F1107" s="117"/>
      <c r="G1107" s="117"/>
      <c r="H1107" s="117"/>
      <c r="I1107" s="117"/>
      <c r="J1107" s="117"/>
      <c r="K1107" s="117"/>
    </row>
    <row r="1108" spans="1:11" s="123" customFormat="1" ht="15.75" x14ac:dyDescent="0.25">
      <c r="A1108" s="117"/>
      <c r="B1108" s="117"/>
      <c r="C1108" s="117"/>
      <c r="D1108" s="117"/>
      <c r="E1108" s="117"/>
      <c r="F1108" s="117"/>
      <c r="G1108" s="117"/>
      <c r="H1108" s="117"/>
      <c r="I1108" s="117"/>
      <c r="J1108" s="117"/>
      <c r="K1108" s="117"/>
    </row>
    <row r="1109" spans="1:11" s="123" customFormat="1" ht="15.75" x14ac:dyDescent="0.25">
      <c r="A1109" s="117"/>
      <c r="B1109" s="117"/>
      <c r="C1109" s="117"/>
      <c r="D1109" s="117"/>
      <c r="E1109" s="117"/>
      <c r="F1109" s="117"/>
      <c r="G1109" s="117"/>
      <c r="H1109" s="117"/>
      <c r="I1109" s="117"/>
      <c r="J1109" s="117"/>
      <c r="K1109" s="117"/>
    </row>
    <row r="1110" spans="1:11" s="123" customFormat="1" ht="15.75" x14ac:dyDescent="0.25">
      <c r="A1110" s="117"/>
      <c r="B1110" s="117"/>
      <c r="C1110" s="117"/>
      <c r="D1110" s="117"/>
      <c r="E1110" s="117"/>
      <c r="F1110" s="117"/>
      <c r="G1110" s="117"/>
      <c r="H1110" s="117"/>
      <c r="I1110" s="117"/>
      <c r="J1110" s="117"/>
      <c r="K1110" s="117"/>
    </row>
    <row r="1111" spans="1:11" s="123" customFormat="1" ht="15.75" x14ac:dyDescent="0.25">
      <c r="A1111" s="117"/>
      <c r="B1111" s="117"/>
      <c r="C1111" s="117"/>
      <c r="D1111" s="117"/>
      <c r="E1111" s="117"/>
      <c r="F1111" s="117"/>
      <c r="G1111" s="117"/>
      <c r="H1111" s="117"/>
      <c r="I1111" s="117"/>
      <c r="J1111" s="117"/>
      <c r="K1111" s="117"/>
    </row>
    <row r="1112" spans="1:11" s="123" customFormat="1" ht="15.75" x14ac:dyDescent="0.25">
      <c r="A1112" s="117"/>
      <c r="B1112" s="117"/>
      <c r="C1112" s="117"/>
      <c r="D1112" s="117"/>
      <c r="E1112" s="117"/>
      <c r="F1112" s="117"/>
      <c r="G1112" s="117"/>
      <c r="H1112" s="117"/>
      <c r="I1112" s="117"/>
      <c r="J1112" s="117"/>
      <c r="K1112" s="117"/>
    </row>
    <row r="1113" spans="1:11" s="123" customFormat="1" ht="15.75" x14ac:dyDescent="0.25">
      <c r="A1113" s="117"/>
      <c r="B1113" s="117"/>
      <c r="C1113" s="117"/>
      <c r="D1113" s="117"/>
      <c r="E1113" s="117"/>
      <c r="F1113" s="117"/>
      <c r="G1113" s="117"/>
      <c r="H1113" s="117"/>
      <c r="I1113" s="117"/>
      <c r="J1113" s="117"/>
      <c r="K1113" s="117"/>
    </row>
    <row r="1114" spans="1:11" s="123" customFormat="1" ht="15.75" x14ac:dyDescent="0.25">
      <c r="A1114" s="117"/>
      <c r="B1114" s="117"/>
      <c r="C1114" s="117"/>
      <c r="D1114" s="117"/>
      <c r="E1114" s="117"/>
      <c r="F1114" s="117"/>
      <c r="G1114" s="117"/>
      <c r="H1114" s="117"/>
      <c r="I1114" s="117"/>
      <c r="J1114" s="117"/>
      <c r="K1114" s="117"/>
    </row>
    <row r="1115" spans="1:11" s="123" customFormat="1" ht="15.75" x14ac:dyDescent="0.25">
      <c r="A1115" s="117"/>
      <c r="B1115" s="117"/>
      <c r="C1115" s="117"/>
      <c r="D1115" s="117"/>
      <c r="E1115" s="117"/>
      <c r="F1115" s="117"/>
      <c r="G1115" s="117"/>
      <c r="H1115" s="117"/>
      <c r="I1115" s="117"/>
      <c r="J1115" s="117"/>
      <c r="K1115" s="117"/>
    </row>
    <row r="1116" spans="1:11" s="123" customFormat="1" ht="15.75" x14ac:dyDescent="0.25">
      <c r="A1116" s="117"/>
      <c r="B1116" s="117"/>
      <c r="C1116" s="117"/>
      <c r="D1116" s="117"/>
      <c r="E1116" s="117"/>
      <c r="F1116" s="117"/>
      <c r="G1116" s="117"/>
      <c r="H1116" s="117"/>
      <c r="I1116" s="117"/>
      <c r="J1116" s="117"/>
      <c r="K1116" s="117"/>
    </row>
    <row r="1117" spans="1:11" s="123" customFormat="1" ht="15.75" x14ac:dyDescent="0.25">
      <c r="A1117" s="117"/>
      <c r="B1117" s="117"/>
      <c r="C1117" s="117"/>
      <c r="D1117" s="117"/>
      <c r="E1117" s="117"/>
      <c r="F1117" s="117"/>
      <c r="G1117" s="117"/>
      <c r="H1117" s="117"/>
      <c r="I1117" s="117"/>
      <c r="J1117" s="117"/>
      <c r="K1117" s="117"/>
    </row>
    <row r="1118" spans="1:11" s="123" customFormat="1" ht="15.75" x14ac:dyDescent="0.25">
      <c r="A1118" s="117"/>
      <c r="B1118" s="117"/>
      <c r="C1118" s="117"/>
      <c r="D1118" s="117"/>
      <c r="E1118" s="117"/>
      <c r="F1118" s="117"/>
      <c r="G1118" s="117"/>
      <c r="H1118" s="117"/>
      <c r="I1118" s="117"/>
      <c r="J1118" s="117"/>
      <c r="K1118" s="117"/>
    </row>
    <row r="1119" spans="1:11" s="123" customFormat="1" ht="15.75" x14ac:dyDescent="0.25">
      <c r="A1119" s="117"/>
      <c r="B1119" s="117"/>
      <c r="C1119" s="117"/>
      <c r="D1119" s="117"/>
      <c r="E1119" s="117"/>
      <c r="F1119" s="117"/>
      <c r="G1119" s="117"/>
      <c r="H1119" s="117"/>
      <c r="I1119" s="117"/>
      <c r="J1119" s="117"/>
      <c r="K1119" s="117"/>
    </row>
    <row r="1120" spans="1:11" s="123" customFormat="1" ht="15.75" x14ac:dyDescent="0.25">
      <c r="A1120" s="117"/>
      <c r="B1120" s="117"/>
      <c r="C1120" s="117"/>
      <c r="D1120" s="117"/>
      <c r="E1120" s="117"/>
      <c r="F1120" s="117"/>
      <c r="G1120" s="117"/>
      <c r="H1120" s="117"/>
      <c r="I1120" s="117"/>
      <c r="J1120" s="117"/>
      <c r="K1120" s="117"/>
    </row>
    <row r="1121" spans="1:11" s="123" customFormat="1" ht="15.75" x14ac:dyDescent="0.25">
      <c r="A1121" s="117"/>
      <c r="B1121" s="117"/>
      <c r="C1121" s="117"/>
      <c r="D1121" s="117"/>
      <c r="E1121" s="117"/>
      <c r="F1121" s="117"/>
      <c r="G1121" s="117"/>
      <c r="H1121" s="117"/>
      <c r="I1121" s="117"/>
      <c r="J1121" s="117"/>
      <c r="K1121" s="117"/>
    </row>
    <row r="1122" spans="1:11" s="123" customFormat="1" ht="15.75" x14ac:dyDescent="0.25">
      <c r="A1122" s="117"/>
      <c r="B1122" s="117"/>
      <c r="C1122" s="117"/>
      <c r="D1122" s="117"/>
      <c r="E1122" s="117"/>
      <c r="F1122" s="117"/>
      <c r="G1122" s="117"/>
      <c r="H1122" s="117"/>
      <c r="I1122" s="117"/>
      <c r="J1122" s="117"/>
      <c r="K1122" s="117"/>
    </row>
    <row r="1123" spans="1:11" s="123" customFormat="1" ht="15.75" x14ac:dyDescent="0.25">
      <c r="A1123" s="117"/>
      <c r="B1123" s="117"/>
      <c r="C1123" s="117"/>
      <c r="D1123" s="117"/>
      <c r="E1123" s="117"/>
      <c r="F1123" s="117"/>
      <c r="G1123" s="117"/>
      <c r="H1123" s="117"/>
      <c r="I1123" s="117"/>
      <c r="J1123" s="117"/>
      <c r="K1123" s="117"/>
    </row>
    <row r="1124" spans="1:11" s="123" customFormat="1" ht="15.75" x14ac:dyDescent="0.25">
      <c r="A1124" s="117"/>
      <c r="B1124" s="117"/>
      <c r="C1124" s="117"/>
      <c r="D1124" s="117"/>
      <c r="E1124" s="117"/>
      <c r="F1124" s="117"/>
      <c r="G1124" s="117"/>
      <c r="H1124" s="117"/>
      <c r="I1124" s="117"/>
      <c r="J1124" s="117"/>
      <c r="K1124" s="117"/>
    </row>
    <row r="1125" spans="1:11" s="123" customFormat="1" ht="15.75" x14ac:dyDescent="0.25">
      <c r="A1125" s="117"/>
      <c r="B1125" s="117"/>
      <c r="C1125" s="117"/>
      <c r="D1125" s="117"/>
      <c r="E1125" s="117"/>
      <c r="F1125" s="117"/>
      <c r="G1125" s="117"/>
      <c r="H1125" s="117"/>
      <c r="I1125" s="117"/>
      <c r="J1125" s="117"/>
      <c r="K1125" s="117"/>
    </row>
    <row r="1126" spans="1:11" s="123" customFormat="1" ht="15.75" x14ac:dyDescent="0.25">
      <c r="A1126" s="117"/>
      <c r="B1126" s="117"/>
      <c r="C1126" s="117"/>
      <c r="D1126" s="117"/>
      <c r="E1126" s="117"/>
      <c r="F1126" s="117"/>
      <c r="G1126" s="117"/>
      <c r="H1126" s="117"/>
      <c r="I1126" s="117"/>
      <c r="J1126" s="117"/>
      <c r="K1126" s="117"/>
    </row>
    <row r="1127" spans="1:11" s="123" customFormat="1" ht="15.75" x14ac:dyDescent="0.25">
      <c r="A1127" s="117"/>
      <c r="B1127" s="117"/>
      <c r="C1127" s="117"/>
      <c r="D1127" s="117"/>
      <c r="E1127" s="117"/>
      <c r="F1127" s="117"/>
      <c r="G1127" s="117"/>
      <c r="H1127" s="117"/>
      <c r="I1127" s="117"/>
      <c r="J1127" s="117"/>
      <c r="K1127" s="117"/>
    </row>
    <row r="1128" spans="1:11" s="123" customFormat="1" ht="15.75" x14ac:dyDescent="0.25">
      <c r="A1128" s="117"/>
      <c r="B1128" s="117"/>
      <c r="C1128" s="117"/>
      <c r="D1128" s="117"/>
      <c r="E1128" s="117"/>
      <c r="F1128" s="117"/>
      <c r="G1128" s="117"/>
      <c r="H1128" s="117"/>
      <c r="I1128" s="117"/>
      <c r="J1128" s="117"/>
      <c r="K1128" s="117"/>
    </row>
    <row r="1129" spans="1:11" s="123" customFormat="1" ht="15.75" x14ac:dyDescent="0.25">
      <c r="A1129" s="117"/>
      <c r="B1129" s="117"/>
      <c r="C1129" s="117"/>
      <c r="D1129" s="117"/>
      <c r="E1129" s="117"/>
      <c r="F1129" s="117"/>
      <c r="G1129" s="117"/>
      <c r="H1129" s="117"/>
      <c r="I1129" s="117"/>
      <c r="J1129" s="117"/>
      <c r="K1129" s="117"/>
    </row>
    <row r="1130" spans="1:11" s="123" customFormat="1" ht="15.75" x14ac:dyDescent="0.25">
      <c r="A1130" s="117"/>
      <c r="B1130" s="117"/>
      <c r="C1130" s="117"/>
      <c r="D1130" s="117"/>
      <c r="E1130" s="117"/>
      <c r="F1130" s="117"/>
      <c r="G1130" s="117"/>
      <c r="H1130" s="117"/>
      <c r="I1130" s="117"/>
      <c r="J1130" s="117"/>
      <c r="K1130" s="117"/>
    </row>
    <row r="1131" spans="1:11" s="123" customFormat="1" ht="15.75" x14ac:dyDescent="0.25">
      <c r="A1131" s="117"/>
      <c r="B1131" s="117"/>
      <c r="C1131" s="117"/>
      <c r="D1131" s="117"/>
      <c r="E1131" s="117"/>
      <c r="F1131" s="117"/>
      <c r="G1131" s="117"/>
      <c r="H1131" s="117"/>
      <c r="I1131" s="117"/>
      <c r="J1131" s="117"/>
      <c r="K1131" s="117"/>
    </row>
    <row r="1132" spans="1:11" s="123" customFormat="1" ht="15.75" x14ac:dyDescent="0.25">
      <c r="A1132" s="117"/>
      <c r="B1132" s="117"/>
      <c r="C1132" s="117"/>
      <c r="D1132" s="117"/>
      <c r="E1132" s="117"/>
      <c r="F1132" s="117"/>
      <c r="G1132" s="117"/>
      <c r="H1132" s="117"/>
      <c r="I1132" s="117"/>
      <c r="J1132" s="117"/>
      <c r="K1132" s="117"/>
    </row>
    <row r="1133" spans="1:11" s="123" customFormat="1" ht="15.75" x14ac:dyDescent="0.25">
      <c r="A1133" s="117"/>
      <c r="B1133" s="117"/>
      <c r="C1133" s="117"/>
      <c r="D1133" s="117"/>
      <c r="E1133" s="117"/>
      <c r="F1133" s="117"/>
      <c r="G1133" s="117"/>
      <c r="H1133" s="117"/>
      <c r="I1133" s="117"/>
      <c r="J1133" s="117"/>
      <c r="K1133" s="117"/>
    </row>
    <row r="1134" spans="1:11" s="123" customFormat="1" ht="15.75" x14ac:dyDescent="0.25">
      <c r="A1134" s="117"/>
      <c r="B1134" s="117"/>
      <c r="C1134" s="117"/>
      <c r="D1134" s="117"/>
      <c r="E1134" s="117"/>
      <c r="F1134" s="117"/>
      <c r="G1134" s="117"/>
      <c r="H1134" s="117"/>
      <c r="I1134" s="117"/>
      <c r="J1134" s="117"/>
      <c r="K1134" s="117"/>
    </row>
    <row r="1135" spans="1:11" s="123" customFormat="1" ht="15.75" x14ac:dyDescent="0.25">
      <c r="A1135" s="117"/>
      <c r="B1135" s="117"/>
      <c r="C1135" s="117"/>
      <c r="D1135" s="117"/>
      <c r="E1135" s="117"/>
      <c r="F1135" s="117"/>
      <c r="G1135" s="117"/>
      <c r="H1135" s="117"/>
      <c r="I1135" s="117"/>
      <c r="J1135" s="117"/>
      <c r="K1135" s="117"/>
    </row>
    <row r="1136" spans="1:11" s="123" customFormat="1" ht="15.75" x14ac:dyDescent="0.25">
      <c r="A1136" s="117"/>
      <c r="B1136" s="117"/>
      <c r="C1136" s="117"/>
      <c r="D1136" s="117"/>
      <c r="E1136" s="117"/>
      <c r="F1136" s="117"/>
      <c r="G1136" s="117"/>
      <c r="H1136" s="117"/>
      <c r="I1136" s="117"/>
      <c r="J1136" s="117"/>
      <c r="K1136" s="117"/>
    </row>
    <row r="1137" spans="1:11" s="123" customFormat="1" ht="15.75" x14ac:dyDescent="0.25">
      <c r="A1137" s="117"/>
      <c r="B1137" s="117"/>
      <c r="C1137" s="117"/>
      <c r="D1137" s="117"/>
      <c r="E1137" s="117"/>
      <c r="F1137" s="117"/>
      <c r="G1137" s="117"/>
      <c r="H1137" s="117"/>
      <c r="I1137" s="117"/>
      <c r="J1137" s="117"/>
      <c r="K1137" s="117"/>
    </row>
    <row r="1138" spans="1:11" s="123" customFormat="1" ht="15.75" x14ac:dyDescent="0.25">
      <c r="A1138" s="117"/>
      <c r="B1138" s="117"/>
      <c r="C1138" s="117"/>
      <c r="D1138" s="117"/>
      <c r="E1138" s="117"/>
      <c r="F1138" s="117"/>
      <c r="G1138" s="117"/>
      <c r="H1138" s="117"/>
      <c r="I1138" s="117"/>
      <c r="J1138" s="117"/>
      <c r="K1138" s="117"/>
    </row>
    <row r="1139" spans="1:11" s="123" customFormat="1" ht="15.75" x14ac:dyDescent="0.25">
      <c r="A1139" s="117"/>
      <c r="B1139" s="117"/>
      <c r="C1139" s="117"/>
      <c r="D1139" s="117"/>
      <c r="E1139" s="117"/>
      <c r="F1139" s="117"/>
      <c r="G1139" s="117"/>
      <c r="H1139" s="117"/>
      <c r="I1139" s="117"/>
      <c r="J1139" s="117"/>
      <c r="K1139" s="117"/>
    </row>
    <row r="1140" spans="1:11" s="123" customFormat="1" ht="15.75" x14ac:dyDescent="0.25">
      <c r="A1140" s="117"/>
      <c r="B1140" s="117"/>
      <c r="C1140" s="117"/>
      <c r="D1140" s="117"/>
      <c r="E1140" s="117"/>
      <c r="F1140" s="117"/>
      <c r="G1140" s="117"/>
      <c r="H1140" s="117"/>
      <c r="I1140" s="117"/>
      <c r="J1140" s="117"/>
      <c r="K1140" s="117"/>
    </row>
    <row r="1141" spans="1:11" s="123" customFormat="1" ht="15.75" x14ac:dyDescent="0.25">
      <c r="A1141" s="117"/>
      <c r="B1141" s="117"/>
      <c r="C1141" s="117"/>
      <c r="D1141" s="117"/>
      <c r="E1141" s="117"/>
      <c r="F1141" s="117"/>
      <c r="G1141" s="117"/>
      <c r="H1141" s="117"/>
      <c r="I1141" s="117"/>
      <c r="J1141" s="117"/>
      <c r="K1141" s="117"/>
    </row>
    <row r="1142" spans="1:11" s="123" customFormat="1" ht="15.75" x14ac:dyDescent="0.25">
      <c r="A1142" s="117"/>
      <c r="B1142" s="117"/>
      <c r="C1142" s="117"/>
      <c r="D1142" s="117"/>
      <c r="E1142" s="117"/>
      <c r="F1142" s="117"/>
      <c r="G1142" s="117"/>
      <c r="H1142" s="117"/>
      <c r="I1142" s="117"/>
      <c r="J1142" s="117"/>
      <c r="K1142" s="117"/>
    </row>
    <row r="1143" spans="1:11" s="123" customFormat="1" ht="15.75" x14ac:dyDescent="0.25">
      <c r="A1143" s="117"/>
      <c r="B1143" s="117"/>
      <c r="C1143" s="117"/>
      <c r="D1143" s="117"/>
      <c r="E1143" s="117"/>
      <c r="F1143" s="117"/>
      <c r="G1143" s="117"/>
      <c r="H1143" s="117"/>
      <c r="I1143" s="117"/>
      <c r="J1143" s="117"/>
      <c r="K1143" s="117"/>
    </row>
    <row r="1144" spans="1:11" s="123" customFormat="1" ht="15.75" x14ac:dyDescent="0.25">
      <c r="A1144" s="117"/>
      <c r="B1144" s="117"/>
      <c r="C1144" s="117"/>
      <c r="D1144" s="117"/>
      <c r="E1144" s="117"/>
      <c r="F1144" s="117"/>
      <c r="G1144" s="117"/>
      <c r="H1144" s="117"/>
      <c r="I1144" s="117"/>
      <c r="J1144" s="117"/>
      <c r="K1144" s="117"/>
    </row>
    <row r="1145" spans="1:11" s="123" customFormat="1" ht="15.75" x14ac:dyDescent="0.25">
      <c r="A1145" s="117"/>
      <c r="B1145" s="117"/>
      <c r="C1145" s="117"/>
      <c r="D1145" s="117"/>
      <c r="E1145" s="117"/>
      <c r="F1145" s="117"/>
      <c r="G1145" s="117"/>
      <c r="H1145" s="117"/>
      <c r="I1145" s="117"/>
      <c r="J1145" s="117"/>
      <c r="K1145" s="117"/>
    </row>
    <row r="1146" spans="1:11" s="123" customFormat="1" ht="15.75" x14ac:dyDescent="0.25">
      <c r="A1146" s="117"/>
      <c r="B1146" s="117"/>
      <c r="C1146" s="117"/>
      <c r="D1146" s="117"/>
      <c r="E1146" s="117"/>
      <c r="F1146" s="117"/>
      <c r="G1146" s="117"/>
      <c r="H1146" s="117"/>
      <c r="I1146" s="117"/>
      <c r="J1146" s="117"/>
      <c r="K1146" s="117"/>
    </row>
    <row r="1147" spans="1:11" s="123" customFormat="1" ht="15.75" x14ac:dyDescent="0.25">
      <c r="A1147" s="117"/>
      <c r="B1147" s="117"/>
      <c r="C1147" s="117"/>
      <c r="D1147" s="117"/>
      <c r="E1147" s="117"/>
      <c r="F1147" s="117"/>
      <c r="G1147" s="117"/>
      <c r="H1147" s="117"/>
      <c r="I1147" s="117"/>
      <c r="J1147" s="117"/>
      <c r="K1147" s="117"/>
    </row>
    <row r="1148" spans="1:11" s="123" customFormat="1" ht="15.75" x14ac:dyDescent="0.25">
      <c r="A1148" s="117"/>
      <c r="B1148" s="117"/>
      <c r="C1148" s="117"/>
      <c r="D1148" s="117"/>
      <c r="E1148" s="117"/>
      <c r="F1148" s="117"/>
      <c r="G1148" s="117"/>
      <c r="H1148" s="117"/>
      <c r="I1148" s="117"/>
      <c r="J1148" s="117"/>
      <c r="K1148" s="117"/>
    </row>
    <row r="1149" spans="1:11" s="123" customFormat="1" ht="15.75" x14ac:dyDescent="0.25">
      <c r="A1149" s="117"/>
      <c r="B1149" s="117"/>
      <c r="C1149" s="117"/>
      <c r="D1149" s="117"/>
      <c r="E1149" s="117"/>
      <c r="F1149" s="117"/>
      <c r="G1149" s="117"/>
      <c r="H1149" s="117"/>
      <c r="I1149" s="117"/>
      <c r="J1149" s="117"/>
      <c r="K1149" s="117"/>
    </row>
    <row r="1150" spans="1:11" s="123" customFormat="1" ht="15.75" x14ac:dyDescent="0.25">
      <c r="A1150" s="117"/>
      <c r="B1150" s="117"/>
      <c r="C1150" s="117"/>
      <c r="D1150" s="117"/>
      <c r="E1150" s="117"/>
      <c r="F1150" s="117"/>
      <c r="G1150" s="117"/>
      <c r="H1150" s="117"/>
      <c r="I1150" s="117"/>
      <c r="J1150" s="117"/>
      <c r="K1150" s="117"/>
    </row>
    <row r="1151" spans="1:11" s="123" customFormat="1" ht="15.75" x14ac:dyDescent="0.25">
      <c r="A1151" s="117"/>
      <c r="B1151" s="117"/>
      <c r="C1151" s="117"/>
      <c r="D1151" s="117"/>
      <c r="E1151" s="117"/>
      <c r="F1151" s="117"/>
      <c r="G1151" s="117"/>
      <c r="H1151" s="117"/>
      <c r="I1151" s="117"/>
      <c r="J1151" s="117"/>
      <c r="K1151" s="117"/>
    </row>
    <row r="1152" spans="1:11" s="123" customFormat="1" ht="15.75" x14ac:dyDescent="0.25">
      <c r="A1152" s="117"/>
      <c r="B1152" s="117"/>
      <c r="C1152" s="117"/>
      <c r="D1152" s="117"/>
      <c r="E1152" s="117"/>
      <c r="F1152" s="117"/>
      <c r="G1152" s="117"/>
      <c r="H1152" s="117"/>
      <c r="I1152" s="117"/>
      <c r="J1152" s="117"/>
      <c r="K1152" s="117"/>
    </row>
    <row r="1153" spans="1:11" s="123" customFormat="1" ht="15.75" x14ac:dyDescent="0.25">
      <c r="A1153" s="117"/>
      <c r="B1153" s="117"/>
      <c r="C1153" s="117"/>
      <c r="D1153" s="117"/>
      <c r="E1153" s="117"/>
      <c r="F1153" s="117"/>
      <c r="G1153" s="117"/>
      <c r="H1153" s="117"/>
      <c r="I1153" s="117"/>
      <c r="J1153" s="117"/>
      <c r="K1153" s="117"/>
    </row>
    <row r="1154" spans="1:11" s="123" customFormat="1" ht="15.75" x14ac:dyDescent="0.25">
      <c r="A1154" s="117"/>
      <c r="B1154" s="117"/>
      <c r="C1154" s="117"/>
      <c r="D1154" s="117"/>
      <c r="E1154" s="117"/>
      <c r="F1154" s="117"/>
      <c r="G1154" s="117"/>
      <c r="H1154" s="117"/>
      <c r="I1154" s="117"/>
      <c r="J1154" s="117"/>
      <c r="K1154" s="117"/>
    </row>
    <row r="1155" spans="1:11" s="123" customFormat="1" ht="15.75" x14ac:dyDescent="0.25">
      <c r="A1155" s="117"/>
      <c r="B1155" s="117"/>
      <c r="C1155" s="117"/>
      <c r="D1155" s="117"/>
      <c r="E1155" s="117"/>
      <c r="F1155" s="117"/>
      <c r="G1155" s="117"/>
      <c r="H1155" s="117"/>
      <c r="I1155" s="117"/>
      <c r="J1155" s="117"/>
      <c r="K1155" s="117"/>
    </row>
    <row r="1156" spans="1:11" s="123" customFormat="1" ht="15.75" x14ac:dyDescent="0.25">
      <c r="A1156" s="117"/>
      <c r="B1156" s="117"/>
      <c r="C1156" s="117"/>
      <c r="D1156" s="117"/>
      <c r="E1156" s="117"/>
      <c r="F1156" s="117"/>
      <c r="G1156" s="117"/>
      <c r="H1156" s="117"/>
      <c r="I1156" s="117"/>
      <c r="J1156" s="117"/>
      <c r="K1156" s="117"/>
    </row>
    <row r="1157" spans="1:11" s="123" customFormat="1" ht="15.75" x14ac:dyDescent="0.25">
      <c r="A1157" s="117"/>
      <c r="B1157" s="117"/>
      <c r="C1157" s="117"/>
      <c r="D1157" s="117"/>
      <c r="E1157" s="117"/>
      <c r="F1157" s="117"/>
      <c r="G1157" s="117"/>
      <c r="H1157" s="117"/>
      <c r="I1157" s="117"/>
      <c r="J1157" s="117"/>
      <c r="K1157" s="117"/>
    </row>
    <row r="1158" spans="1:11" s="123" customFormat="1" ht="15.75" x14ac:dyDescent="0.25">
      <c r="A1158" s="117"/>
      <c r="B1158" s="117"/>
      <c r="C1158" s="117"/>
      <c r="D1158" s="117"/>
      <c r="E1158" s="117"/>
      <c r="F1158" s="117"/>
      <c r="G1158" s="117"/>
      <c r="H1158" s="117"/>
      <c r="I1158" s="117"/>
      <c r="J1158" s="117"/>
      <c r="K1158" s="117"/>
    </row>
    <row r="1159" spans="1:11" s="123" customFormat="1" ht="15.75" x14ac:dyDescent="0.25">
      <c r="A1159" s="117"/>
      <c r="B1159" s="117"/>
      <c r="C1159" s="117"/>
      <c r="D1159" s="117"/>
      <c r="E1159" s="117"/>
      <c r="F1159" s="117"/>
      <c r="G1159" s="117"/>
      <c r="H1159" s="117"/>
      <c r="I1159" s="117"/>
      <c r="J1159" s="117"/>
      <c r="K1159" s="117"/>
    </row>
    <row r="1160" spans="1:11" s="123" customFormat="1" ht="15.75" x14ac:dyDescent="0.25">
      <c r="A1160" s="117"/>
      <c r="B1160" s="117"/>
      <c r="C1160" s="117"/>
      <c r="D1160" s="117"/>
      <c r="E1160" s="117"/>
      <c r="F1160" s="117"/>
      <c r="G1160" s="117"/>
      <c r="H1160" s="117"/>
      <c r="I1160" s="117"/>
      <c r="J1160" s="117"/>
      <c r="K1160" s="117"/>
    </row>
    <row r="1161" spans="1:11" s="123" customFormat="1" ht="15.75" x14ac:dyDescent="0.25">
      <c r="A1161" s="117"/>
      <c r="B1161" s="117"/>
      <c r="C1161" s="117"/>
      <c r="D1161" s="117"/>
      <c r="E1161" s="117"/>
      <c r="F1161" s="117"/>
      <c r="G1161" s="117"/>
      <c r="H1161" s="117"/>
      <c r="I1161" s="117"/>
      <c r="J1161" s="117"/>
      <c r="K1161" s="117"/>
    </row>
    <row r="1162" spans="1:11" s="123" customFormat="1" ht="15.75" x14ac:dyDescent="0.25">
      <c r="A1162" s="117"/>
      <c r="B1162" s="117"/>
      <c r="C1162" s="117"/>
      <c r="D1162" s="117"/>
      <c r="E1162" s="117"/>
      <c r="F1162" s="117"/>
      <c r="G1162" s="117"/>
      <c r="H1162" s="117"/>
      <c r="I1162" s="117"/>
      <c r="J1162" s="117"/>
      <c r="K1162" s="117"/>
    </row>
    <row r="1163" spans="1:11" s="123" customFormat="1" ht="15.75" x14ac:dyDescent="0.25">
      <c r="A1163" s="117"/>
      <c r="B1163" s="117"/>
      <c r="C1163" s="117"/>
      <c r="D1163" s="117"/>
      <c r="E1163" s="117"/>
      <c r="F1163" s="117"/>
      <c r="G1163" s="117"/>
      <c r="H1163" s="117"/>
      <c r="I1163" s="117"/>
      <c r="J1163" s="117"/>
      <c r="K1163" s="117"/>
    </row>
    <row r="1164" spans="1:11" s="123" customFormat="1" ht="15.75" x14ac:dyDescent="0.25">
      <c r="A1164" s="117"/>
      <c r="B1164" s="117"/>
      <c r="C1164" s="117"/>
      <c r="D1164" s="117"/>
      <c r="E1164" s="117"/>
      <c r="F1164" s="117"/>
      <c r="G1164" s="117"/>
      <c r="H1164" s="117"/>
      <c r="I1164" s="117"/>
      <c r="J1164" s="117"/>
      <c r="K1164" s="117"/>
    </row>
    <row r="1165" spans="1:11" s="123" customFormat="1" ht="15.75" x14ac:dyDescent="0.25">
      <c r="A1165" s="117"/>
      <c r="B1165" s="117"/>
      <c r="C1165" s="117"/>
      <c r="D1165" s="117"/>
      <c r="E1165" s="117"/>
      <c r="F1165" s="117"/>
      <c r="G1165" s="117"/>
      <c r="H1165" s="117"/>
      <c r="I1165" s="117"/>
      <c r="J1165" s="117"/>
      <c r="K1165" s="117"/>
    </row>
    <row r="1166" spans="1:11" s="123" customFormat="1" ht="15.75" x14ac:dyDescent="0.25">
      <c r="A1166" s="117"/>
      <c r="B1166" s="117"/>
      <c r="C1166" s="117"/>
      <c r="D1166" s="117"/>
      <c r="E1166" s="117"/>
      <c r="F1166" s="117"/>
      <c r="G1166" s="117"/>
      <c r="H1166" s="117"/>
      <c r="I1166" s="117"/>
      <c r="J1166" s="117"/>
      <c r="K1166" s="117"/>
    </row>
    <row r="1167" spans="1:11" s="123" customFormat="1" ht="15.75" x14ac:dyDescent="0.25">
      <c r="A1167" s="117"/>
      <c r="B1167" s="117"/>
      <c r="C1167" s="117"/>
      <c r="D1167" s="117"/>
      <c r="E1167" s="117"/>
      <c r="F1167" s="117"/>
      <c r="G1167" s="117"/>
      <c r="H1167" s="117"/>
      <c r="I1167" s="117"/>
      <c r="J1167" s="117"/>
      <c r="K1167" s="117"/>
    </row>
    <row r="1168" spans="1:11" s="123" customFormat="1" ht="15.75" x14ac:dyDescent="0.25">
      <c r="A1168" s="117"/>
      <c r="B1168" s="117"/>
      <c r="C1168" s="117"/>
      <c r="D1168" s="117"/>
      <c r="E1168" s="117"/>
      <c r="F1168" s="117"/>
      <c r="G1168" s="117"/>
      <c r="H1168" s="117"/>
      <c r="I1168" s="117"/>
      <c r="J1168" s="117"/>
      <c r="K1168" s="117"/>
    </row>
    <row r="1169" spans="1:11" s="123" customFormat="1" ht="15.75" x14ac:dyDescent="0.25">
      <c r="A1169" s="117"/>
      <c r="B1169" s="117"/>
      <c r="C1169" s="117"/>
      <c r="D1169" s="117"/>
      <c r="E1169" s="117"/>
      <c r="F1169" s="117"/>
      <c r="G1169" s="117"/>
      <c r="H1169" s="117"/>
      <c r="I1169" s="117"/>
      <c r="J1169" s="117"/>
      <c r="K1169" s="117"/>
    </row>
    <row r="1170" spans="1:11" s="123" customFormat="1" ht="15.75" x14ac:dyDescent="0.25">
      <c r="A1170" s="117"/>
      <c r="B1170" s="117"/>
      <c r="C1170" s="117"/>
      <c r="D1170" s="117"/>
      <c r="E1170" s="117"/>
      <c r="F1170" s="117"/>
      <c r="G1170" s="117"/>
      <c r="H1170" s="117"/>
      <c r="I1170" s="117"/>
      <c r="J1170" s="117"/>
      <c r="K1170" s="117"/>
    </row>
    <row r="1171" spans="1:11" s="123" customFormat="1" ht="15.75" x14ac:dyDescent="0.25">
      <c r="A1171" s="117"/>
      <c r="B1171" s="117"/>
      <c r="C1171" s="117"/>
      <c r="D1171" s="117"/>
      <c r="E1171" s="117"/>
      <c r="F1171" s="117"/>
      <c r="G1171" s="117"/>
      <c r="H1171" s="117"/>
      <c r="I1171" s="117"/>
      <c r="J1171" s="117"/>
      <c r="K1171" s="117"/>
    </row>
    <row r="1172" spans="1:11" s="123" customFormat="1" ht="15.75" x14ac:dyDescent="0.25">
      <c r="A1172" s="117"/>
      <c r="B1172" s="117"/>
      <c r="C1172" s="117"/>
      <c r="D1172" s="117"/>
      <c r="E1172" s="117"/>
      <c r="F1172" s="117"/>
      <c r="G1172" s="117"/>
      <c r="H1172" s="117"/>
      <c r="I1172" s="117"/>
      <c r="J1172" s="117"/>
      <c r="K1172" s="117"/>
    </row>
    <row r="1173" spans="1:11" s="123" customFormat="1" ht="15.75" x14ac:dyDescent="0.25">
      <c r="A1173" s="117"/>
      <c r="B1173" s="117"/>
      <c r="C1173" s="117"/>
      <c r="D1173" s="117"/>
      <c r="E1173" s="117"/>
      <c r="F1173" s="117"/>
      <c r="G1173" s="117"/>
      <c r="H1173" s="117"/>
      <c r="I1173" s="117"/>
      <c r="J1173" s="117"/>
      <c r="K1173" s="117"/>
    </row>
    <row r="1174" spans="1:11" s="123" customFormat="1" ht="15.75" x14ac:dyDescent="0.25">
      <c r="A1174" s="117"/>
      <c r="B1174" s="117"/>
      <c r="C1174" s="117"/>
      <c r="D1174" s="117"/>
      <c r="E1174" s="117"/>
      <c r="F1174" s="117"/>
      <c r="G1174" s="117"/>
      <c r="H1174" s="117"/>
      <c r="I1174" s="117"/>
      <c r="J1174" s="117"/>
      <c r="K1174" s="117"/>
    </row>
    <row r="1175" spans="1:11" s="123" customFormat="1" ht="15.75" x14ac:dyDescent="0.25">
      <c r="A1175" s="117"/>
      <c r="B1175" s="117"/>
      <c r="C1175" s="117"/>
      <c r="D1175" s="117"/>
      <c r="E1175" s="117"/>
      <c r="F1175" s="117"/>
      <c r="G1175" s="117"/>
      <c r="H1175" s="117"/>
      <c r="I1175" s="117"/>
      <c r="J1175" s="117"/>
      <c r="K1175" s="117"/>
    </row>
    <row r="1176" spans="1:11" s="123" customFormat="1" ht="15.75" x14ac:dyDescent="0.25">
      <c r="A1176" s="117"/>
      <c r="B1176" s="117"/>
      <c r="C1176" s="117"/>
      <c r="D1176" s="117"/>
      <c r="E1176" s="117"/>
      <c r="F1176" s="117"/>
      <c r="G1176" s="117"/>
      <c r="H1176" s="117"/>
      <c r="I1176" s="117"/>
      <c r="J1176" s="117"/>
      <c r="K1176" s="117"/>
    </row>
    <row r="1177" spans="1:11" s="123" customFormat="1" ht="15.75" x14ac:dyDescent="0.25">
      <c r="A1177" s="117"/>
      <c r="B1177" s="117"/>
      <c r="C1177" s="117"/>
      <c r="D1177" s="117"/>
      <c r="E1177" s="117"/>
      <c r="F1177" s="117"/>
      <c r="G1177" s="117"/>
      <c r="H1177" s="117"/>
      <c r="I1177" s="117"/>
      <c r="J1177" s="117"/>
      <c r="K1177" s="117"/>
    </row>
    <row r="1178" spans="1:11" s="123" customFormat="1" ht="15.75" x14ac:dyDescent="0.25">
      <c r="A1178" s="117"/>
      <c r="B1178" s="117"/>
      <c r="C1178" s="117"/>
      <c r="D1178" s="117"/>
      <c r="E1178" s="117"/>
      <c r="F1178" s="117"/>
      <c r="G1178" s="117"/>
      <c r="H1178" s="117"/>
      <c r="I1178" s="117"/>
      <c r="J1178" s="117"/>
      <c r="K1178" s="117"/>
    </row>
    <row r="1179" spans="1:11" s="123" customFormat="1" ht="15.75" x14ac:dyDescent="0.25">
      <c r="A1179" s="117"/>
      <c r="B1179" s="117"/>
      <c r="C1179" s="117"/>
      <c r="D1179" s="117"/>
      <c r="E1179" s="117"/>
      <c r="F1179" s="117"/>
      <c r="G1179" s="117"/>
      <c r="H1179" s="117"/>
      <c r="I1179" s="117"/>
      <c r="J1179" s="117"/>
      <c r="K1179" s="117"/>
    </row>
    <row r="1180" spans="1:11" s="123" customFormat="1" ht="15.75" x14ac:dyDescent="0.25">
      <c r="A1180" s="117"/>
      <c r="B1180" s="117"/>
      <c r="C1180" s="117"/>
      <c r="D1180" s="117"/>
      <c r="E1180" s="117"/>
      <c r="F1180" s="117"/>
      <c r="G1180" s="117"/>
      <c r="H1180" s="117"/>
      <c r="I1180" s="117"/>
      <c r="J1180" s="117"/>
      <c r="K1180" s="117"/>
    </row>
    <row r="1181" spans="1:11" s="123" customFormat="1" ht="15.75" x14ac:dyDescent="0.25">
      <c r="A1181" s="117"/>
      <c r="B1181" s="117"/>
      <c r="C1181" s="117"/>
      <c r="D1181" s="117"/>
      <c r="E1181" s="117"/>
      <c r="F1181" s="117"/>
      <c r="G1181" s="117"/>
      <c r="H1181" s="117"/>
      <c r="I1181" s="117"/>
      <c r="J1181" s="117"/>
      <c r="K1181" s="117"/>
    </row>
    <row r="1182" spans="1:11" s="123" customFormat="1" ht="15.75" x14ac:dyDescent="0.25">
      <c r="A1182" s="117"/>
      <c r="B1182" s="117"/>
      <c r="C1182" s="117"/>
      <c r="D1182" s="117"/>
      <c r="E1182" s="117"/>
      <c r="F1182" s="117"/>
      <c r="G1182" s="117"/>
      <c r="H1182" s="117"/>
      <c r="I1182" s="117"/>
      <c r="J1182" s="117"/>
      <c r="K1182" s="117"/>
    </row>
    <row r="1183" spans="1:11" s="123" customFormat="1" ht="15.75" x14ac:dyDescent="0.25">
      <c r="A1183" s="117"/>
      <c r="B1183" s="117"/>
      <c r="C1183" s="117"/>
      <c r="D1183" s="117"/>
      <c r="E1183" s="117"/>
      <c r="F1183" s="117"/>
      <c r="G1183" s="117"/>
      <c r="H1183" s="117"/>
      <c r="I1183" s="117"/>
      <c r="J1183" s="117"/>
      <c r="K1183" s="117"/>
    </row>
    <row r="1184" spans="1:11" s="123" customFormat="1" ht="15.75" x14ac:dyDescent="0.25">
      <c r="A1184" s="117"/>
      <c r="B1184" s="117"/>
      <c r="C1184" s="117"/>
      <c r="D1184" s="117"/>
      <c r="E1184" s="117"/>
      <c r="F1184" s="117"/>
      <c r="G1184" s="117"/>
      <c r="H1184" s="117"/>
      <c r="I1184" s="117"/>
      <c r="J1184" s="117"/>
      <c r="K1184" s="117"/>
    </row>
    <row r="1185" spans="1:11" s="123" customFormat="1" ht="15.75" x14ac:dyDescent="0.25">
      <c r="A1185" s="117"/>
      <c r="B1185" s="117"/>
      <c r="C1185" s="117"/>
      <c r="D1185" s="117"/>
      <c r="E1185" s="117"/>
      <c r="F1185" s="117"/>
      <c r="G1185" s="117"/>
      <c r="H1185" s="117"/>
      <c r="I1185" s="117"/>
      <c r="J1185" s="117"/>
      <c r="K1185" s="117"/>
    </row>
    <row r="1186" spans="1:11" s="123" customFormat="1" ht="15.75" x14ac:dyDescent="0.25">
      <c r="A1186" s="117"/>
      <c r="B1186" s="117"/>
      <c r="C1186" s="117"/>
      <c r="D1186" s="117"/>
      <c r="E1186" s="117"/>
      <c r="F1186" s="117"/>
      <c r="G1186" s="117"/>
      <c r="H1186" s="117"/>
      <c r="I1186" s="117"/>
      <c r="J1186" s="117"/>
      <c r="K1186" s="117"/>
    </row>
    <row r="1187" spans="1:11" s="123" customFormat="1" ht="15.75" x14ac:dyDescent="0.25">
      <c r="A1187" s="117"/>
      <c r="B1187" s="117"/>
      <c r="C1187" s="117"/>
      <c r="D1187" s="117"/>
      <c r="E1187" s="117"/>
      <c r="F1187" s="117"/>
      <c r="G1187" s="117"/>
      <c r="H1187" s="117"/>
      <c r="I1187" s="117"/>
      <c r="J1187" s="117"/>
      <c r="K1187" s="117"/>
    </row>
    <row r="1188" spans="1:11" s="123" customFormat="1" ht="15.75" x14ac:dyDescent="0.25">
      <c r="A1188" s="117"/>
      <c r="B1188" s="117"/>
      <c r="C1188" s="117"/>
      <c r="D1188" s="117"/>
      <c r="E1188" s="117"/>
      <c r="F1188" s="117"/>
      <c r="G1188" s="117"/>
      <c r="H1188" s="117"/>
      <c r="I1188" s="117"/>
      <c r="J1188" s="117"/>
      <c r="K1188" s="117"/>
    </row>
    <row r="1189" spans="1:11" s="123" customFormat="1" ht="15.75" x14ac:dyDescent="0.25">
      <c r="A1189" s="117"/>
      <c r="B1189" s="117"/>
      <c r="C1189" s="117"/>
      <c r="D1189" s="117"/>
      <c r="E1189" s="117"/>
      <c r="F1189" s="117"/>
      <c r="G1189" s="117"/>
      <c r="H1189" s="117"/>
      <c r="I1189" s="117"/>
      <c r="J1189" s="117"/>
      <c r="K1189" s="117"/>
    </row>
    <row r="1190" spans="1:11" s="123" customFormat="1" ht="15.75" x14ac:dyDescent="0.25">
      <c r="A1190" s="117"/>
      <c r="B1190" s="117"/>
      <c r="C1190" s="117"/>
      <c r="D1190" s="117"/>
      <c r="E1190" s="117"/>
      <c r="F1190" s="117"/>
      <c r="G1190" s="117"/>
      <c r="H1190" s="117"/>
      <c r="I1190" s="117"/>
      <c r="J1190" s="117"/>
      <c r="K1190" s="117"/>
    </row>
    <row r="1191" spans="1:11" s="123" customFormat="1" ht="15.75" x14ac:dyDescent="0.25">
      <c r="A1191" s="117"/>
      <c r="B1191" s="117"/>
      <c r="C1191" s="117"/>
      <c r="D1191" s="117"/>
      <c r="E1191" s="117"/>
      <c r="F1191" s="117"/>
      <c r="G1191" s="117"/>
      <c r="H1191" s="117"/>
      <c r="I1191" s="117"/>
      <c r="J1191" s="117"/>
      <c r="K1191" s="117"/>
    </row>
    <row r="1192" spans="1:11" s="123" customFormat="1" ht="15.75" x14ac:dyDescent="0.25">
      <c r="A1192" s="117"/>
      <c r="B1192" s="117"/>
      <c r="C1192" s="117"/>
      <c r="D1192" s="117"/>
      <c r="E1192" s="117"/>
      <c r="F1192" s="117"/>
      <c r="G1192" s="117"/>
      <c r="H1192" s="117"/>
      <c r="I1192" s="117"/>
      <c r="J1192" s="117"/>
      <c r="K1192" s="117"/>
    </row>
    <row r="1193" spans="1:11" s="123" customFormat="1" ht="15.75" x14ac:dyDescent="0.25">
      <c r="A1193" s="117"/>
      <c r="B1193" s="117"/>
      <c r="C1193" s="117"/>
      <c r="D1193" s="117"/>
      <c r="E1193" s="117"/>
      <c r="F1193" s="117"/>
      <c r="G1193" s="117"/>
      <c r="H1193" s="117"/>
      <c r="I1193" s="117"/>
      <c r="J1193" s="117"/>
      <c r="K1193" s="117"/>
    </row>
    <row r="1194" spans="1:11" s="123" customFormat="1" ht="15.75" x14ac:dyDescent="0.25">
      <c r="A1194" s="117"/>
      <c r="B1194" s="117"/>
      <c r="C1194" s="117"/>
      <c r="D1194" s="117"/>
      <c r="E1194" s="117"/>
      <c r="F1194" s="117"/>
      <c r="G1194" s="117"/>
      <c r="H1194" s="117"/>
      <c r="I1194" s="117"/>
      <c r="J1194" s="117"/>
      <c r="K1194" s="117"/>
    </row>
    <row r="1195" spans="1:11" s="123" customFormat="1" ht="15.75" x14ac:dyDescent="0.25">
      <c r="A1195" s="117"/>
      <c r="B1195" s="117"/>
      <c r="C1195" s="117"/>
      <c r="D1195" s="117"/>
      <c r="E1195" s="117"/>
      <c r="F1195" s="117"/>
      <c r="G1195" s="117"/>
      <c r="H1195" s="117"/>
      <c r="I1195" s="117"/>
      <c r="J1195" s="117"/>
      <c r="K1195" s="117"/>
    </row>
    <row r="1196" spans="1:11" s="123" customFormat="1" ht="15.75" x14ac:dyDescent="0.25">
      <c r="A1196" s="117"/>
      <c r="B1196" s="117"/>
      <c r="C1196" s="117"/>
      <c r="D1196" s="117"/>
      <c r="E1196" s="117"/>
      <c r="F1196" s="117"/>
      <c r="G1196" s="117"/>
      <c r="H1196" s="117"/>
      <c r="I1196" s="117"/>
      <c r="J1196" s="117"/>
      <c r="K1196" s="117"/>
    </row>
    <row r="1197" spans="1:11" s="123" customFormat="1" ht="15.75" x14ac:dyDescent="0.25">
      <c r="A1197" s="117"/>
      <c r="B1197" s="117"/>
      <c r="C1197" s="117"/>
      <c r="D1197" s="117"/>
      <c r="E1197" s="117"/>
      <c r="F1197" s="117"/>
      <c r="G1197" s="117"/>
      <c r="H1197" s="117"/>
      <c r="I1197" s="117"/>
      <c r="J1197" s="117"/>
      <c r="K1197" s="117"/>
    </row>
    <row r="1198" spans="1:11" s="123" customFormat="1" ht="15.75" x14ac:dyDescent="0.25">
      <c r="A1198" s="117"/>
      <c r="B1198" s="117"/>
      <c r="C1198" s="117"/>
      <c r="D1198" s="117"/>
      <c r="E1198" s="117"/>
      <c r="F1198" s="117"/>
      <c r="G1198" s="117"/>
      <c r="H1198" s="117"/>
      <c r="I1198" s="117"/>
      <c r="J1198" s="117"/>
      <c r="K1198" s="117"/>
    </row>
    <row r="1199" spans="1:11" s="123" customFormat="1" ht="15.75" x14ac:dyDescent="0.25">
      <c r="A1199" s="117"/>
      <c r="B1199" s="117"/>
      <c r="C1199" s="117"/>
      <c r="D1199" s="117"/>
      <c r="E1199" s="117"/>
      <c r="F1199" s="117"/>
      <c r="G1199" s="117"/>
      <c r="H1199" s="117"/>
      <c r="I1199" s="117"/>
      <c r="J1199" s="117"/>
      <c r="K1199" s="117"/>
    </row>
    <row r="1200" spans="1:11" s="123" customFormat="1" ht="15.75" x14ac:dyDescent="0.25">
      <c r="A1200" s="117"/>
      <c r="B1200" s="117"/>
      <c r="C1200" s="117"/>
      <c r="D1200" s="117"/>
      <c r="E1200" s="117"/>
      <c r="F1200" s="117"/>
      <c r="G1200" s="117"/>
      <c r="H1200" s="117"/>
      <c r="I1200" s="117"/>
      <c r="J1200" s="117"/>
      <c r="K1200" s="117"/>
    </row>
    <row r="1201" spans="1:11" s="123" customFormat="1" ht="15.75" x14ac:dyDescent="0.25">
      <c r="A1201" s="117"/>
      <c r="B1201" s="117"/>
      <c r="C1201" s="117"/>
      <c r="D1201" s="117"/>
      <c r="E1201" s="117"/>
      <c r="F1201" s="117"/>
      <c r="G1201" s="117"/>
      <c r="H1201" s="117"/>
      <c r="I1201" s="117"/>
      <c r="J1201" s="117"/>
      <c r="K1201" s="117"/>
    </row>
    <row r="1202" spans="1:11" s="123" customFormat="1" ht="15.75" x14ac:dyDescent="0.25">
      <c r="A1202" s="117"/>
      <c r="B1202" s="117"/>
      <c r="C1202" s="117"/>
      <c r="D1202" s="117"/>
      <c r="E1202" s="117"/>
      <c r="F1202" s="117"/>
      <c r="G1202" s="117"/>
      <c r="H1202" s="117"/>
      <c r="I1202" s="117"/>
      <c r="J1202" s="117"/>
      <c r="K1202" s="117"/>
    </row>
    <row r="1203" spans="1:11" s="123" customFormat="1" ht="15.75" x14ac:dyDescent="0.25">
      <c r="A1203" s="117"/>
      <c r="B1203" s="117"/>
      <c r="C1203" s="117"/>
      <c r="D1203" s="117"/>
      <c r="E1203" s="117"/>
      <c r="F1203" s="117"/>
      <c r="G1203" s="117"/>
      <c r="H1203" s="117"/>
      <c r="I1203" s="117"/>
      <c r="J1203" s="117"/>
      <c r="K1203" s="117"/>
    </row>
    <row r="1204" spans="1:11" s="123" customFormat="1" ht="15.75" x14ac:dyDescent="0.25">
      <c r="A1204" s="117"/>
      <c r="B1204" s="117"/>
      <c r="C1204" s="117"/>
      <c r="D1204" s="117"/>
      <c r="E1204" s="117"/>
      <c r="F1204" s="117"/>
      <c r="G1204" s="117"/>
      <c r="H1204" s="117"/>
      <c r="I1204" s="117"/>
      <c r="J1204" s="117"/>
      <c r="K1204" s="117"/>
    </row>
    <row r="1205" spans="1:11" s="123" customFormat="1" ht="15.75" x14ac:dyDescent="0.25">
      <c r="A1205" s="117"/>
      <c r="B1205" s="117"/>
      <c r="C1205" s="117"/>
      <c r="D1205" s="117"/>
      <c r="E1205" s="117"/>
      <c r="F1205" s="117"/>
      <c r="G1205" s="117"/>
      <c r="H1205" s="117"/>
      <c r="I1205" s="117"/>
      <c r="J1205" s="117"/>
      <c r="K1205" s="117"/>
    </row>
    <row r="1206" spans="1:11" s="123" customFormat="1" ht="15.75" x14ac:dyDescent="0.25">
      <c r="A1206" s="117"/>
      <c r="B1206" s="117"/>
      <c r="C1206" s="117"/>
      <c r="D1206" s="117"/>
      <c r="E1206" s="117"/>
      <c r="F1206" s="117"/>
      <c r="G1206" s="117"/>
      <c r="H1206" s="117"/>
      <c r="I1206" s="117"/>
      <c r="J1206" s="117"/>
      <c r="K1206" s="117"/>
    </row>
    <row r="1207" spans="1:11" s="123" customFormat="1" ht="15.75" x14ac:dyDescent="0.25">
      <c r="A1207" s="117"/>
      <c r="B1207" s="117"/>
      <c r="C1207" s="117"/>
      <c r="D1207" s="117"/>
      <c r="E1207" s="117"/>
      <c r="F1207" s="117"/>
      <c r="G1207" s="117"/>
      <c r="H1207" s="117"/>
      <c r="I1207" s="117"/>
      <c r="J1207" s="117"/>
      <c r="K1207" s="117"/>
    </row>
    <row r="1208" spans="1:11" s="123" customFormat="1" ht="15.75" x14ac:dyDescent="0.25">
      <c r="A1208" s="117"/>
      <c r="B1208" s="117"/>
      <c r="C1208" s="117"/>
      <c r="D1208" s="117"/>
      <c r="E1208" s="117"/>
      <c r="F1208" s="117"/>
      <c r="G1208" s="117"/>
      <c r="H1208" s="117"/>
      <c r="I1208" s="117"/>
      <c r="J1208" s="117"/>
      <c r="K1208" s="117"/>
    </row>
    <row r="1209" spans="1:11" s="123" customFormat="1" ht="15.75" x14ac:dyDescent="0.25">
      <c r="A1209" s="117"/>
      <c r="B1209" s="117"/>
      <c r="C1209" s="117"/>
      <c r="D1209" s="117"/>
      <c r="E1209" s="117"/>
      <c r="F1209" s="117"/>
      <c r="G1209" s="117"/>
      <c r="H1209" s="117"/>
      <c r="I1209" s="117"/>
      <c r="J1209" s="117"/>
      <c r="K1209" s="117"/>
    </row>
    <row r="1210" spans="1:11" s="123" customFormat="1" ht="15.75" x14ac:dyDescent="0.25">
      <c r="A1210" s="117"/>
      <c r="B1210" s="117"/>
      <c r="C1210" s="117"/>
      <c r="D1210" s="117"/>
      <c r="E1210" s="117"/>
      <c r="F1210" s="117"/>
      <c r="G1210" s="117"/>
      <c r="H1210" s="117"/>
      <c r="I1210" s="117"/>
      <c r="J1210" s="117"/>
      <c r="K1210" s="117"/>
    </row>
    <row r="1211" spans="1:11" s="123" customFormat="1" ht="15.75" x14ac:dyDescent="0.25">
      <c r="A1211" s="117"/>
      <c r="B1211" s="117"/>
      <c r="C1211" s="117"/>
      <c r="D1211" s="117"/>
      <c r="E1211" s="117"/>
      <c r="F1211" s="117"/>
      <c r="G1211" s="117"/>
      <c r="H1211" s="117"/>
      <c r="I1211" s="117"/>
      <c r="J1211" s="117"/>
      <c r="K1211" s="117"/>
    </row>
    <row r="1212" spans="1:11" s="123" customFormat="1" ht="15.75" x14ac:dyDescent="0.25">
      <c r="A1212" s="117"/>
      <c r="B1212" s="117"/>
      <c r="C1212" s="117"/>
      <c r="D1212" s="117"/>
      <c r="E1212" s="117"/>
      <c r="F1212" s="117"/>
      <c r="G1212" s="117"/>
      <c r="H1212" s="117"/>
      <c r="I1212" s="117"/>
      <c r="J1212" s="117"/>
      <c r="K1212" s="117"/>
    </row>
    <row r="1213" spans="1:11" s="123" customFormat="1" ht="15.75" x14ac:dyDescent="0.25">
      <c r="A1213" s="117"/>
      <c r="B1213" s="117"/>
      <c r="C1213" s="117"/>
      <c r="D1213" s="117"/>
      <c r="E1213" s="117"/>
      <c r="F1213" s="117"/>
      <c r="G1213" s="117"/>
      <c r="H1213" s="117"/>
      <c r="I1213" s="117"/>
      <c r="J1213" s="117"/>
      <c r="K1213" s="117"/>
    </row>
    <row r="1214" spans="1:11" s="123" customFormat="1" ht="15.75" x14ac:dyDescent="0.25">
      <c r="A1214" s="117"/>
      <c r="B1214" s="117"/>
      <c r="C1214" s="117"/>
      <c r="D1214" s="117"/>
      <c r="E1214" s="117"/>
      <c r="F1214" s="117"/>
      <c r="G1214" s="117"/>
      <c r="H1214" s="117"/>
      <c r="I1214" s="117"/>
      <c r="J1214" s="117"/>
      <c r="K1214" s="117"/>
    </row>
    <row r="1215" spans="1:11" s="123" customFormat="1" ht="15.75" x14ac:dyDescent="0.25">
      <c r="A1215" s="117"/>
      <c r="B1215" s="117"/>
      <c r="C1215" s="117"/>
      <c r="D1215" s="117"/>
      <c r="E1215" s="117"/>
      <c r="F1215" s="117"/>
      <c r="G1215" s="117"/>
      <c r="H1215" s="117"/>
      <c r="I1215" s="117"/>
      <c r="J1215" s="117"/>
      <c r="K1215" s="117"/>
    </row>
    <row r="1216" spans="1:11" s="123" customFormat="1" ht="15.75" x14ac:dyDescent="0.25">
      <c r="A1216" s="117"/>
      <c r="B1216" s="117"/>
      <c r="C1216" s="117"/>
      <c r="D1216" s="117"/>
      <c r="E1216" s="117"/>
      <c r="F1216" s="117"/>
      <c r="G1216" s="117"/>
      <c r="H1216" s="117"/>
      <c r="I1216" s="117"/>
      <c r="J1216" s="117"/>
      <c r="K1216" s="117"/>
    </row>
    <row r="1217" spans="1:11" s="123" customFormat="1" ht="15.75" x14ac:dyDescent="0.25">
      <c r="A1217" s="117"/>
      <c r="B1217" s="117"/>
      <c r="C1217" s="117"/>
      <c r="D1217" s="117"/>
      <c r="E1217" s="117"/>
      <c r="F1217" s="117"/>
      <c r="G1217" s="117"/>
      <c r="H1217" s="117"/>
      <c r="I1217" s="117"/>
      <c r="J1217" s="117"/>
      <c r="K1217" s="117"/>
    </row>
    <row r="1218" spans="1:11" s="123" customFormat="1" ht="15.75" x14ac:dyDescent="0.25">
      <c r="A1218" s="117"/>
      <c r="B1218" s="117"/>
      <c r="C1218" s="117"/>
      <c r="D1218" s="117"/>
      <c r="E1218" s="117"/>
      <c r="F1218" s="117"/>
      <c r="G1218" s="117"/>
      <c r="H1218" s="117"/>
      <c r="I1218" s="117"/>
      <c r="J1218" s="117"/>
      <c r="K1218" s="117"/>
    </row>
    <row r="1219" spans="1:11" s="123" customFormat="1" ht="15.75" x14ac:dyDescent="0.25">
      <c r="A1219" s="117"/>
      <c r="B1219" s="117"/>
      <c r="C1219" s="117"/>
      <c r="D1219" s="117"/>
      <c r="E1219" s="117"/>
      <c r="F1219" s="117"/>
      <c r="G1219" s="117"/>
      <c r="H1219" s="117"/>
      <c r="I1219" s="117"/>
      <c r="J1219" s="117"/>
      <c r="K1219" s="117"/>
    </row>
    <row r="1220" spans="1:11" s="123" customFormat="1" ht="15.75" x14ac:dyDescent="0.25">
      <c r="A1220" s="117"/>
      <c r="B1220" s="117"/>
      <c r="C1220" s="117"/>
      <c r="D1220" s="117"/>
      <c r="E1220" s="117"/>
      <c r="F1220" s="117"/>
      <c r="G1220" s="117"/>
      <c r="H1220" s="117"/>
      <c r="I1220" s="117"/>
      <c r="J1220" s="117"/>
      <c r="K1220" s="117"/>
    </row>
    <row r="1221" spans="1:11" s="123" customFormat="1" ht="15.75" x14ac:dyDescent="0.25">
      <c r="A1221" s="117"/>
      <c r="B1221" s="117"/>
      <c r="C1221" s="117"/>
      <c r="D1221" s="117"/>
      <c r="E1221" s="117"/>
      <c r="F1221" s="117"/>
      <c r="G1221" s="117"/>
      <c r="H1221" s="117"/>
      <c r="I1221" s="117"/>
      <c r="J1221" s="117"/>
      <c r="K1221" s="117"/>
    </row>
    <row r="1222" spans="1:11" s="123" customFormat="1" ht="15.75" x14ac:dyDescent="0.25">
      <c r="A1222" s="117"/>
      <c r="B1222" s="117"/>
      <c r="C1222" s="117"/>
      <c r="D1222" s="117"/>
      <c r="E1222" s="117"/>
      <c r="F1222" s="117"/>
      <c r="G1222" s="117"/>
      <c r="H1222" s="117"/>
      <c r="I1222" s="117"/>
      <c r="J1222" s="117"/>
      <c r="K1222" s="117"/>
    </row>
    <row r="1223" spans="1:11" s="123" customFormat="1" ht="15.75" x14ac:dyDescent="0.25">
      <c r="A1223" s="117"/>
      <c r="B1223" s="117"/>
      <c r="C1223" s="117"/>
      <c r="D1223" s="117"/>
      <c r="E1223" s="117"/>
      <c r="F1223" s="117"/>
      <c r="G1223" s="117"/>
      <c r="H1223" s="117"/>
      <c r="I1223" s="117"/>
      <c r="J1223" s="117"/>
      <c r="K1223" s="117"/>
    </row>
    <row r="1224" spans="1:11" s="123" customFormat="1" ht="15.75" x14ac:dyDescent="0.25">
      <c r="A1224" s="117"/>
      <c r="B1224" s="117"/>
      <c r="C1224" s="117"/>
      <c r="D1224" s="117"/>
      <c r="E1224" s="117"/>
      <c r="F1224" s="117"/>
      <c r="G1224" s="117"/>
      <c r="H1224" s="117"/>
      <c r="I1224" s="117"/>
      <c r="J1224" s="117"/>
      <c r="K1224" s="117"/>
    </row>
    <row r="1225" spans="1:11" s="123" customFormat="1" ht="15.75" x14ac:dyDescent="0.25">
      <c r="A1225" s="117"/>
      <c r="B1225" s="117"/>
      <c r="C1225" s="117"/>
      <c r="D1225" s="117"/>
      <c r="E1225" s="117"/>
      <c r="F1225" s="117"/>
      <c r="G1225" s="117"/>
      <c r="H1225" s="117"/>
      <c r="I1225" s="117"/>
      <c r="J1225" s="117"/>
      <c r="K1225" s="117"/>
    </row>
    <row r="1226" spans="1:11" s="123" customFormat="1" ht="15.75" x14ac:dyDescent="0.25">
      <c r="A1226" s="117"/>
      <c r="B1226" s="117"/>
      <c r="C1226" s="117"/>
      <c r="D1226" s="117"/>
      <c r="E1226" s="117"/>
      <c r="F1226" s="117"/>
      <c r="G1226" s="117"/>
      <c r="H1226" s="117"/>
      <c r="I1226" s="117"/>
      <c r="J1226" s="117"/>
      <c r="K1226" s="117"/>
    </row>
    <row r="1227" spans="1:11" s="123" customFormat="1" ht="15.75" x14ac:dyDescent="0.25">
      <c r="A1227" s="117"/>
      <c r="B1227" s="117"/>
      <c r="C1227" s="117"/>
      <c r="D1227" s="117"/>
      <c r="E1227" s="117"/>
      <c r="F1227" s="117"/>
      <c r="G1227" s="117"/>
      <c r="H1227" s="117"/>
      <c r="I1227" s="117"/>
      <c r="J1227" s="117"/>
      <c r="K1227" s="117"/>
    </row>
    <row r="1228" spans="1:11" s="123" customFormat="1" ht="15.75" x14ac:dyDescent="0.25">
      <c r="A1228" s="117"/>
      <c r="B1228" s="117"/>
      <c r="C1228" s="117"/>
      <c r="D1228" s="117"/>
      <c r="E1228" s="117"/>
      <c r="F1228" s="117"/>
      <c r="G1228" s="117"/>
      <c r="H1228" s="117"/>
      <c r="I1228" s="117"/>
      <c r="J1228" s="117"/>
      <c r="K1228" s="117"/>
    </row>
    <row r="1229" spans="1:11" s="123" customFormat="1" ht="15.75" x14ac:dyDescent="0.25">
      <c r="A1229" s="117"/>
      <c r="B1229" s="117"/>
      <c r="C1229" s="117"/>
      <c r="D1229" s="117"/>
      <c r="E1229" s="117"/>
      <c r="F1229" s="117"/>
      <c r="G1229" s="117"/>
      <c r="H1229" s="117"/>
      <c r="I1229" s="117"/>
      <c r="J1229" s="117"/>
      <c r="K1229" s="117"/>
    </row>
    <row r="1230" spans="1:11" s="123" customFormat="1" ht="15.75" x14ac:dyDescent="0.25">
      <c r="A1230" s="117"/>
      <c r="B1230" s="117"/>
      <c r="C1230" s="117"/>
      <c r="D1230" s="117"/>
      <c r="E1230" s="117"/>
      <c r="F1230" s="117"/>
      <c r="G1230" s="117"/>
      <c r="H1230" s="117"/>
      <c r="I1230" s="117"/>
      <c r="J1230" s="117"/>
      <c r="K1230" s="117"/>
    </row>
    <row r="1231" spans="1:11" s="123" customFormat="1" ht="15.75" x14ac:dyDescent="0.25">
      <c r="A1231" s="117"/>
      <c r="B1231" s="117"/>
      <c r="C1231" s="117"/>
      <c r="D1231" s="117"/>
      <c r="E1231" s="117"/>
      <c r="F1231" s="117"/>
      <c r="G1231" s="117"/>
      <c r="H1231" s="117"/>
      <c r="I1231" s="117"/>
      <c r="J1231" s="117"/>
      <c r="K1231" s="117"/>
    </row>
    <row r="1232" spans="1:11" s="123" customFormat="1" ht="15.75" x14ac:dyDescent="0.25">
      <c r="A1232" s="117"/>
      <c r="B1232" s="117"/>
      <c r="C1232" s="117"/>
      <c r="D1232" s="117"/>
      <c r="E1232" s="117"/>
      <c r="F1232" s="117"/>
      <c r="G1232" s="117"/>
      <c r="H1232" s="117"/>
      <c r="I1232" s="117"/>
      <c r="J1232" s="117"/>
      <c r="K1232" s="117"/>
    </row>
    <row r="1233" spans="1:11" s="123" customFormat="1" ht="15.75" x14ac:dyDescent="0.25">
      <c r="A1233" s="117"/>
      <c r="B1233" s="117"/>
      <c r="C1233" s="117"/>
      <c r="D1233" s="117"/>
      <c r="E1233" s="117"/>
      <c r="F1233" s="117"/>
      <c r="G1233" s="117"/>
      <c r="H1233" s="117"/>
      <c r="I1233" s="117"/>
      <c r="J1233" s="117"/>
      <c r="K1233" s="117"/>
    </row>
    <row r="1234" spans="1:11" s="123" customFormat="1" ht="15.75" x14ac:dyDescent="0.25">
      <c r="A1234" s="117"/>
      <c r="B1234" s="117"/>
      <c r="C1234" s="117"/>
      <c r="D1234" s="117"/>
      <c r="E1234" s="117"/>
      <c r="F1234" s="117"/>
      <c r="G1234" s="117"/>
      <c r="H1234" s="117"/>
      <c r="I1234" s="117"/>
      <c r="J1234" s="117"/>
      <c r="K1234" s="117"/>
    </row>
    <row r="1235" spans="1:11" s="123" customFormat="1" ht="15.75" x14ac:dyDescent="0.25">
      <c r="A1235" s="117"/>
      <c r="B1235" s="117"/>
      <c r="C1235" s="117"/>
      <c r="D1235" s="117"/>
      <c r="E1235" s="117"/>
      <c r="F1235" s="117"/>
      <c r="G1235" s="117"/>
      <c r="H1235" s="117"/>
      <c r="I1235" s="117"/>
      <c r="J1235" s="117"/>
      <c r="K1235" s="117"/>
    </row>
    <row r="1236" spans="1:11" s="123" customFormat="1" ht="15.75" x14ac:dyDescent="0.25">
      <c r="A1236" s="117"/>
      <c r="B1236" s="117"/>
      <c r="C1236" s="117"/>
      <c r="D1236" s="117"/>
      <c r="E1236" s="117"/>
      <c r="F1236" s="117"/>
      <c r="G1236" s="117"/>
      <c r="H1236" s="117"/>
      <c r="I1236" s="117"/>
      <c r="J1236" s="117"/>
      <c r="K1236" s="117"/>
    </row>
    <row r="1237" spans="1:11" s="123" customFormat="1" ht="15.75" x14ac:dyDescent="0.25">
      <c r="A1237" s="117"/>
      <c r="B1237" s="117"/>
      <c r="C1237" s="117"/>
      <c r="D1237" s="117"/>
      <c r="E1237" s="117"/>
      <c r="F1237" s="117"/>
      <c r="G1237" s="117"/>
      <c r="H1237" s="117"/>
      <c r="I1237" s="117"/>
      <c r="J1237" s="117"/>
      <c r="K1237" s="117"/>
    </row>
    <row r="1238" spans="1:11" s="123" customFormat="1" ht="15.75" x14ac:dyDescent="0.25">
      <c r="A1238" s="117"/>
      <c r="B1238" s="117"/>
      <c r="C1238" s="117"/>
      <c r="D1238" s="117"/>
      <c r="E1238" s="117"/>
      <c r="F1238" s="117"/>
      <c r="G1238" s="117"/>
      <c r="H1238" s="117"/>
      <c r="I1238" s="117"/>
      <c r="J1238" s="117"/>
      <c r="K1238" s="117"/>
    </row>
    <row r="1239" spans="1:11" s="123" customFormat="1" ht="15.75" x14ac:dyDescent="0.25">
      <c r="A1239" s="117"/>
      <c r="B1239" s="117"/>
      <c r="C1239" s="117"/>
      <c r="D1239" s="117"/>
      <c r="E1239" s="117"/>
      <c r="F1239" s="117"/>
      <c r="G1239" s="117"/>
      <c r="H1239" s="117"/>
      <c r="I1239" s="117"/>
      <c r="J1239" s="117"/>
      <c r="K1239" s="117"/>
    </row>
    <row r="1240" spans="1:11" s="123" customFormat="1" ht="15.75" x14ac:dyDescent="0.25">
      <c r="A1240" s="117"/>
      <c r="B1240" s="117"/>
      <c r="C1240" s="117"/>
      <c r="D1240" s="117"/>
      <c r="E1240" s="117"/>
      <c r="F1240" s="117"/>
      <c r="G1240" s="117"/>
      <c r="H1240" s="117"/>
      <c r="I1240" s="117"/>
      <c r="J1240" s="117"/>
      <c r="K1240" s="117"/>
    </row>
    <row r="1241" spans="1:11" s="123" customFormat="1" ht="15.75" x14ac:dyDescent="0.25">
      <c r="A1241" s="117"/>
      <c r="B1241" s="117"/>
      <c r="C1241" s="117"/>
      <c r="D1241" s="117"/>
      <c r="E1241" s="117"/>
      <c r="F1241" s="117"/>
      <c r="G1241" s="117"/>
      <c r="H1241" s="117"/>
      <c r="I1241" s="117"/>
      <c r="J1241" s="117"/>
      <c r="K1241" s="117"/>
    </row>
    <row r="1242" spans="1:11" s="123" customFormat="1" ht="15.75" x14ac:dyDescent="0.25">
      <c r="A1242" s="117"/>
      <c r="B1242" s="117"/>
      <c r="C1242" s="117"/>
      <c r="D1242" s="117"/>
      <c r="E1242" s="117"/>
      <c r="F1242" s="117"/>
      <c r="G1242" s="117"/>
      <c r="H1242" s="117"/>
      <c r="I1242" s="117"/>
      <c r="J1242" s="117"/>
      <c r="K1242" s="117"/>
    </row>
    <row r="1243" spans="1:11" s="123" customFormat="1" ht="15.75" x14ac:dyDescent="0.25">
      <c r="A1243" s="117"/>
      <c r="B1243" s="117"/>
      <c r="C1243" s="117"/>
      <c r="D1243" s="117"/>
      <c r="E1243" s="117"/>
      <c r="F1243" s="117"/>
      <c r="G1243" s="117"/>
      <c r="H1243" s="117"/>
      <c r="I1243" s="117"/>
      <c r="J1243" s="117"/>
      <c r="K1243" s="117"/>
    </row>
    <row r="1244" spans="1:11" s="123" customFormat="1" ht="15.75" x14ac:dyDescent="0.25">
      <c r="A1244" s="117"/>
      <c r="B1244" s="117"/>
      <c r="C1244" s="117"/>
      <c r="D1244" s="117"/>
      <c r="E1244" s="117"/>
      <c r="F1244" s="117"/>
      <c r="G1244" s="117"/>
      <c r="H1244" s="117"/>
      <c r="I1244" s="117"/>
      <c r="J1244" s="117"/>
      <c r="K1244" s="117"/>
    </row>
    <row r="1245" spans="1:11" s="123" customFormat="1" ht="15.75" x14ac:dyDescent="0.25">
      <c r="A1245" s="117"/>
      <c r="B1245" s="117"/>
      <c r="C1245" s="117"/>
      <c r="D1245" s="117"/>
      <c r="E1245" s="117"/>
      <c r="F1245" s="117"/>
      <c r="G1245" s="117"/>
      <c r="H1245" s="117"/>
      <c r="I1245" s="117"/>
      <c r="J1245" s="117"/>
      <c r="K1245" s="117"/>
    </row>
    <row r="1246" spans="1:11" s="123" customFormat="1" ht="15.75" x14ac:dyDescent="0.25">
      <c r="A1246" s="117"/>
      <c r="B1246" s="117"/>
      <c r="C1246" s="117"/>
      <c r="D1246" s="117"/>
      <c r="E1246" s="117"/>
      <c r="F1246" s="117"/>
      <c r="G1246" s="117"/>
      <c r="H1246" s="117"/>
      <c r="I1246" s="117"/>
      <c r="J1246" s="117"/>
      <c r="K1246" s="117"/>
    </row>
    <row r="1247" spans="1:11" s="123" customFormat="1" ht="15.75" x14ac:dyDescent="0.25">
      <c r="A1247" s="117"/>
      <c r="B1247" s="117"/>
      <c r="C1247" s="117"/>
      <c r="D1247" s="117"/>
      <c r="E1247" s="117"/>
      <c r="F1247" s="117"/>
      <c r="G1247" s="117"/>
      <c r="H1247" s="117"/>
      <c r="I1247" s="117"/>
      <c r="J1247" s="117"/>
      <c r="K1247" s="117"/>
    </row>
    <row r="1248" spans="1:11" s="123" customFormat="1" ht="15.75" x14ac:dyDescent="0.25">
      <c r="A1248" s="117"/>
      <c r="B1248" s="117"/>
      <c r="C1248" s="117"/>
      <c r="D1248" s="117"/>
      <c r="E1248" s="117"/>
      <c r="F1248" s="117"/>
      <c r="G1248" s="117"/>
      <c r="H1248" s="117"/>
      <c r="I1248" s="117"/>
      <c r="J1248" s="117"/>
      <c r="K1248" s="117"/>
    </row>
    <row r="1249" spans="1:11" s="123" customFormat="1" ht="15.75" x14ac:dyDescent="0.25">
      <c r="A1249" s="117"/>
      <c r="B1249" s="117"/>
      <c r="C1249" s="117"/>
      <c r="D1249" s="117"/>
      <c r="E1249" s="117"/>
      <c r="F1249" s="117"/>
      <c r="G1249" s="117"/>
      <c r="H1249" s="117"/>
      <c r="I1249" s="117"/>
      <c r="J1249" s="117"/>
      <c r="K1249" s="117"/>
    </row>
    <row r="1250" spans="1:11" s="123" customFormat="1" ht="15.75" x14ac:dyDescent="0.25">
      <c r="A1250" s="117"/>
      <c r="B1250" s="117"/>
      <c r="C1250" s="117"/>
      <c r="D1250" s="117"/>
      <c r="E1250" s="117"/>
      <c r="F1250" s="117"/>
      <c r="G1250" s="117"/>
      <c r="H1250" s="117"/>
      <c r="I1250" s="117"/>
      <c r="J1250" s="117"/>
      <c r="K1250" s="117"/>
    </row>
    <row r="1251" spans="1:11" s="123" customFormat="1" ht="15.75" x14ac:dyDescent="0.25">
      <c r="A1251" s="117"/>
      <c r="B1251" s="117"/>
      <c r="C1251" s="117"/>
      <c r="D1251" s="117"/>
      <c r="E1251" s="117"/>
      <c r="F1251" s="117"/>
      <c r="G1251" s="117"/>
      <c r="H1251" s="117"/>
      <c r="I1251" s="117"/>
      <c r="J1251" s="117"/>
      <c r="K1251" s="117"/>
    </row>
    <row r="1252" spans="1:11" s="123" customFormat="1" ht="15.75" x14ac:dyDescent="0.25">
      <c r="A1252" s="117"/>
      <c r="B1252" s="117"/>
      <c r="C1252" s="117"/>
      <c r="D1252" s="117"/>
      <c r="E1252" s="117"/>
      <c r="F1252" s="117"/>
      <c r="G1252" s="117"/>
      <c r="H1252" s="117"/>
      <c r="I1252" s="117"/>
      <c r="J1252" s="117"/>
      <c r="K1252" s="117"/>
    </row>
    <row r="1253" spans="1:11" s="123" customFormat="1" ht="15.75" x14ac:dyDescent="0.25">
      <c r="A1253" s="117"/>
      <c r="B1253" s="117"/>
      <c r="C1253" s="117"/>
      <c r="D1253" s="117"/>
      <c r="E1253" s="117"/>
      <c r="F1253" s="117"/>
      <c r="G1253" s="117"/>
      <c r="H1253" s="117"/>
      <c r="I1253" s="117"/>
      <c r="J1253" s="117"/>
      <c r="K1253" s="117"/>
    </row>
    <row r="1254" spans="1:11" s="123" customFormat="1" ht="15.75" x14ac:dyDescent="0.25">
      <c r="A1254" s="117"/>
      <c r="B1254" s="117"/>
      <c r="C1254" s="117"/>
      <c r="D1254" s="117"/>
      <c r="E1254" s="117"/>
      <c r="F1254" s="117"/>
      <c r="G1254" s="117"/>
      <c r="H1254" s="117"/>
      <c r="I1254" s="117"/>
      <c r="J1254" s="117"/>
      <c r="K1254" s="117"/>
    </row>
    <row r="1255" spans="1:11" s="123" customFormat="1" ht="15.75" x14ac:dyDescent="0.25">
      <c r="A1255" s="117"/>
      <c r="B1255" s="117"/>
      <c r="C1255" s="117"/>
      <c r="D1255" s="117"/>
      <c r="E1255" s="117"/>
      <c r="F1255" s="117"/>
      <c r="G1255" s="117"/>
      <c r="H1255" s="117"/>
      <c r="I1255" s="117"/>
      <c r="J1255" s="117"/>
      <c r="K1255" s="117"/>
    </row>
    <row r="1256" spans="1:11" s="123" customFormat="1" ht="15.75" x14ac:dyDescent="0.25">
      <c r="A1256" s="117"/>
      <c r="B1256" s="117"/>
      <c r="C1256" s="117"/>
      <c r="D1256" s="117"/>
      <c r="E1256" s="117"/>
      <c r="F1256" s="117"/>
      <c r="G1256" s="117"/>
      <c r="H1256" s="117"/>
      <c r="I1256" s="117"/>
      <c r="J1256" s="117"/>
      <c r="K1256" s="117"/>
    </row>
    <row r="1257" spans="1:11" s="123" customFormat="1" ht="15.75" x14ac:dyDescent="0.25">
      <c r="A1257" s="117"/>
      <c r="B1257" s="117"/>
      <c r="C1257" s="117"/>
      <c r="D1257" s="117"/>
      <c r="E1257" s="117"/>
      <c r="F1257" s="117"/>
      <c r="G1257" s="117"/>
      <c r="H1257" s="117"/>
      <c r="I1257" s="117"/>
      <c r="J1257" s="117"/>
      <c r="K1257" s="117"/>
    </row>
    <row r="1258" spans="1:11" s="123" customFormat="1" ht="15.75" x14ac:dyDescent="0.25">
      <c r="A1258" s="117"/>
      <c r="B1258" s="117"/>
      <c r="C1258" s="117"/>
      <c r="D1258" s="117"/>
      <c r="E1258" s="117"/>
      <c r="F1258" s="117"/>
      <c r="G1258" s="117"/>
      <c r="H1258" s="117"/>
      <c r="I1258" s="117"/>
      <c r="J1258" s="117"/>
      <c r="K1258" s="117"/>
    </row>
    <row r="1259" spans="1:11" s="123" customFormat="1" ht="15.75" x14ac:dyDescent="0.25">
      <c r="A1259" s="117"/>
      <c r="B1259" s="117"/>
      <c r="C1259" s="117"/>
      <c r="D1259" s="117"/>
      <c r="E1259" s="117"/>
      <c r="F1259" s="117"/>
      <c r="G1259" s="117"/>
      <c r="H1259" s="117"/>
      <c r="I1259" s="117"/>
      <c r="J1259" s="117"/>
      <c r="K1259" s="117"/>
    </row>
    <row r="1260" spans="1:11" s="123" customFormat="1" ht="15.75" x14ac:dyDescent="0.25">
      <c r="A1260" s="117"/>
      <c r="B1260" s="117"/>
      <c r="C1260" s="117"/>
      <c r="D1260" s="117"/>
      <c r="E1260" s="117"/>
      <c r="F1260" s="117"/>
      <c r="G1260" s="117"/>
      <c r="H1260" s="117"/>
      <c r="I1260" s="117"/>
      <c r="J1260" s="117"/>
      <c r="K1260" s="117"/>
    </row>
    <row r="1261" spans="1:11" s="123" customFormat="1" ht="15.75" x14ac:dyDescent="0.25">
      <c r="A1261" s="117"/>
      <c r="B1261" s="117"/>
      <c r="C1261" s="117"/>
      <c r="D1261" s="117"/>
      <c r="E1261" s="117"/>
      <c r="F1261" s="117"/>
      <c r="G1261" s="117"/>
      <c r="H1261" s="117"/>
      <c r="I1261" s="117"/>
      <c r="J1261" s="117"/>
      <c r="K1261" s="117"/>
    </row>
    <row r="1262" spans="1:11" s="123" customFormat="1" ht="15.75" x14ac:dyDescent="0.25">
      <c r="A1262" s="117"/>
      <c r="B1262" s="117"/>
      <c r="C1262" s="117"/>
      <c r="D1262" s="117"/>
      <c r="E1262" s="117"/>
      <c r="F1262" s="117"/>
      <c r="G1262" s="117"/>
      <c r="H1262" s="117"/>
      <c r="I1262" s="117"/>
      <c r="J1262" s="117"/>
      <c r="K1262" s="117"/>
    </row>
    <row r="1263" spans="1:11" s="123" customFormat="1" ht="15.75" x14ac:dyDescent="0.25">
      <c r="A1263" s="117"/>
      <c r="B1263" s="117"/>
      <c r="C1263" s="117"/>
      <c r="D1263" s="117"/>
      <c r="E1263" s="117"/>
      <c r="F1263" s="117"/>
      <c r="G1263" s="117"/>
      <c r="H1263" s="117"/>
      <c r="I1263" s="117"/>
      <c r="J1263" s="117"/>
      <c r="K1263" s="117"/>
    </row>
    <row r="1264" spans="1:11" s="123" customFormat="1" ht="15.75" x14ac:dyDescent="0.25">
      <c r="A1264" s="117"/>
      <c r="B1264" s="117"/>
      <c r="C1264" s="117"/>
      <c r="D1264" s="117"/>
      <c r="E1264" s="117"/>
      <c r="F1264" s="117"/>
      <c r="G1264" s="117"/>
      <c r="H1264" s="117"/>
      <c r="I1264" s="117"/>
      <c r="J1264" s="117"/>
      <c r="K1264" s="117"/>
    </row>
    <row r="1265" spans="1:11" s="123" customFormat="1" ht="15.75" x14ac:dyDescent="0.25">
      <c r="A1265" s="117"/>
      <c r="B1265" s="117"/>
      <c r="C1265" s="117"/>
      <c r="D1265" s="117"/>
      <c r="E1265" s="117"/>
      <c r="F1265" s="117"/>
      <c r="G1265" s="117"/>
      <c r="H1265" s="117"/>
      <c r="I1265" s="117"/>
      <c r="J1265" s="117"/>
      <c r="K1265" s="117"/>
    </row>
    <row r="1266" spans="1:11" s="123" customFormat="1" ht="15.75" x14ac:dyDescent="0.25">
      <c r="A1266" s="117"/>
      <c r="B1266" s="117"/>
      <c r="C1266" s="117"/>
      <c r="D1266" s="117"/>
      <c r="E1266" s="117"/>
      <c r="F1266" s="117"/>
      <c r="G1266" s="117"/>
      <c r="H1266" s="117"/>
      <c r="I1266" s="117"/>
      <c r="J1266" s="117"/>
      <c r="K1266" s="117"/>
    </row>
    <row r="1267" spans="1:11" s="123" customFormat="1" ht="15.75" x14ac:dyDescent="0.25">
      <c r="A1267" s="117"/>
      <c r="B1267" s="117"/>
      <c r="C1267" s="117"/>
      <c r="D1267" s="117"/>
      <c r="E1267" s="117"/>
      <c r="F1267" s="117"/>
      <c r="G1267" s="117"/>
      <c r="H1267" s="117"/>
      <c r="I1267" s="117"/>
      <c r="J1267" s="117"/>
      <c r="K1267" s="117"/>
    </row>
    <row r="1268" spans="1:11" s="123" customFormat="1" ht="15.75" x14ac:dyDescent="0.25">
      <c r="A1268" s="117"/>
      <c r="B1268" s="117"/>
      <c r="C1268" s="117"/>
      <c r="D1268" s="117"/>
      <c r="E1268" s="117"/>
      <c r="F1268" s="117"/>
      <c r="G1268" s="117"/>
      <c r="H1268" s="117"/>
      <c r="I1268" s="117"/>
      <c r="J1268" s="117"/>
      <c r="K1268" s="117"/>
    </row>
    <row r="1269" spans="1:11" s="123" customFormat="1" ht="15.75" x14ac:dyDescent="0.25">
      <c r="A1269" s="117"/>
      <c r="B1269" s="117"/>
      <c r="C1269" s="117"/>
      <c r="D1269" s="117"/>
      <c r="E1269" s="117"/>
      <c r="F1269" s="117"/>
      <c r="G1269" s="117"/>
      <c r="H1269" s="117"/>
      <c r="I1269" s="117"/>
      <c r="J1269" s="117"/>
      <c r="K1269" s="117"/>
    </row>
    <row r="1270" spans="1:11" s="123" customFormat="1" ht="15.75" x14ac:dyDescent="0.25">
      <c r="A1270" s="117"/>
      <c r="B1270" s="117"/>
      <c r="C1270" s="117"/>
      <c r="D1270" s="117"/>
      <c r="E1270" s="117"/>
      <c r="F1270" s="117"/>
      <c r="G1270" s="117"/>
      <c r="H1270" s="117"/>
      <c r="I1270" s="117"/>
      <c r="J1270" s="117"/>
      <c r="K1270" s="117"/>
    </row>
    <row r="1271" spans="1:11" s="123" customFormat="1" ht="15.75" x14ac:dyDescent="0.25">
      <c r="A1271" s="117"/>
      <c r="B1271" s="117"/>
      <c r="C1271" s="117"/>
      <c r="D1271" s="117"/>
      <c r="E1271" s="117"/>
      <c r="F1271" s="117"/>
      <c r="G1271" s="117"/>
      <c r="H1271" s="117"/>
      <c r="I1271" s="117"/>
      <c r="J1271" s="117"/>
      <c r="K1271" s="117"/>
    </row>
    <row r="1272" spans="1:11" s="123" customFormat="1" ht="15.75" x14ac:dyDescent="0.25">
      <c r="A1272" s="117"/>
      <c r="B1272" s="117"/>
      <c r="C1272" s="117"/>
      <c r="D1272" s="117"/>
      <c r="E1272" s="117"/>
      <c r="F1272" s="117"/>
      <c r="G1272" s="117"/>
      <c r="H1272" s="117"/>
      <c r="I1272" s="117"/>
      <c r="J1272" s="117"/>
      <c r="K1272" s="117"/>
    </row>
    <row r="1273" spans="1:11" s="123" customFormat="1" ht="15.75" x14ac:dyDescent="0.25">
      <c r="A1273" s="117"/>
      <c r="B1273" s="117"/>
      <c r="C1273" s="117"/>
      <c r="D1273" s="117"/>
      <c r="E1273" s="117"/>
      <c r="F1273" s="117"/>
      <c r="G1273" s="117"/>
      <c r="H1273" s="117"/>
      <c r="I1273" s="117"/>
      <c r="J1273" s="117"/>
      <c r="K1273" s="117"/>
    </row>
    <row r="1274" spans="1:11" s="123" customFormat="1" ht="15.75" x14ac:dyDescent="0.25">
      <c r="A1274" s="117"/>
      <c r="B1274" s="117"/>
      <c r="C1274" s="117"/>
      <c r="D1274" s="117"/>
      <c r="E1274" s="117"/>
      <c r="F1274" s="117"/>
      <c r="G1274" s="117"/>
      <c r="H1274" s="117"/>
      <c r="I1274" s="117"/>
      <c r="J1274" s="117"/>
      <c r="K1274" s="117"/>
    </row>
    <row r="1275" spans="1:11" s="123" customFormat="1" ht="15.75" x14ac:dyDescent="0.25">
      <c r="A1275" s="117"/>
      <c r="B1275" s="117"/>
      <c r="C1275" s="117"/>
      <c r="D1275" s="117"/>
      <c r="E1275" s="117"/>
      <c r="F1275" s="117"/>
      <c r="G1275" s="117"/>
      <c r="H1275" s="117"/>
      <c r="I1275" s="117"/>
      <c r="J1275" s="117"/>
      <c r="K1275" s="117"/>
    </row>
    <row r="1276" spans="1:11" s="123" customFormat="1" ht="15.75" x14ac:dyDescent="0.25">
      <c r="A1276" s="117"/>
      <c r="B1276" s="117"/>
      <c r="C1276" s="117"/>
      <c r="D1276" s="117"/>
      <c r="E1276" s="117"/>
      <c r="F1276" s="117"/>
      <c r="G1276" s="117"/>
      <c r="H1276" s="117"/>
      <c r="I1276" s="117"/>
      <c r="J1276" s="117"/>
      <c r="K1276" s="117"/>
    </row>
    <row r="1277" spans="1:11" s="123" customFormat="1" ht="15.75" x14ac:dyDescent="0.25">
      <c r="A1277" s="117"/>
      <c r="B1277" s="117"/>
      <c r="C1277" s="117"/>
      <c r="D1277" s="117"/>
      <c r="E1277" s="117"/>
      <c r="F1277" s="117"/>
      <c r="G1277" s="117"/>
      <c r="H1277" s="117"/>
      <c r="I1277" s="117"/>
      <c r="J1277" s="117"/>
      <c r="K1277" s="117"/>
    </row>
    <row r="1278" spans="1:11" s="123" customFormat="1" ht="15.75" x14ac:dyDescent="0.25">
      <c r="A1278" s="117"/>
      <c r="B1278" s="117"/>
      <c r="C1278" s="117"/>
      <c r="D1278" s="117"/>
      <c r="E1278" s="117"/>
      <c r="F1278" s="117"/>
      <c r="G1278" s="117"/>
      <c r="H1278" s="117"/>
      <c r="I1278" s="117"/>
      <c r="J1278" s="117"/>
      <c r="K1278" s="117"/>
    </row>
    <row r="1279" spans="1:11" s="123" customFormat="1" ht="15.75" x14ac:dyDescent="0.25">
      <c r="A1279" s="117"/>
      <c r="B1279" s="117"/>
      <c r="C1279" s="117"/>
      <c r="D1279" s="117"/>
      <c r="E1279" s="117"/>
      <c r="F1279" s="117"/>
      <c r="G1279" s="117"/>
      <c r="H1279" s="117"/>
      <c r="I1279" s="117"/>
      <c r="J1279" s="117"/>
      <c r="K1279" s="117"/>
    </row>
    <row r="1280" spans="1:11" s="123" customFormat="1" ht="15.75" x14ac:dyDescent="0.25">
      <c r="A1280" s="117"/>
      <c r="B1280" s="117"/>
      <c r="C1280" s="117"/>
      <c r="D1280" s="117"/>
      <c r="E1280" s="117"/>
      <c r="F1280" s="117"/>
      <c r="G1280" s="117"/>
      <c r="H1280" s="117"/>
      <c r="I1280" s="117"/>
      <c r="J1280" s="117"/>
      <c r="K1280" s="117"/>
    </row>
    <row r="1281" spans="1:11" s="123" customFormat="1" ht="15.75" x14ac:dyDescent="0.25">
      <c r="A1281" s="117"/>
      <c r="B1281" s="117"/>
      <c r="C1281" s="117"/>
      <c r="D1281" s="117"/>
      <c r="E1281" s="117"/>
      <c r="F1281" s="117"/>
      <c r="G1281" s="117"/>
      <c r="H1281" s="117"/>
      <c r="I1281" s="117"/>
      <c r="J1281" s="117"/>
      <c r="K1281" s="117"/>
    </row>
    <row r="1282" spans="1:11" s="123" customFormat="1" ht="15.75" x14ac:dyDescent="0.25">
      <c r="A1282" s="117"/>
      <c r="B1282" s="117"/>
      <c r="C1282" s="117"/>
      <c r="D1282" s="117"/>
      <c r="E1282" s="117"/>
      <c r="F1282" s="117"/>
      <c r="G1282" s="117"/>
      <c r="H1282" s="117"/>
      <c r="I1282" s="117"/>
      <c r="J1282" s="117"/>
      <c r="K1282" s="117"/>
    </row>
    <row r="1283" spans="1:11" s="123" customFormat="1" ht="15.75" x14ac:dyDescent="0.25">
      <c r="A1283" s="117"/>
      <c r="B1283" s="117"/>
      <c r="C1283" s="117"/>
      <c r="D1283" s="117"/>
      <c r="E1283" s="117"/>
      <c r="F1283" s="117"/>
      <c r="G1283" s="117"/>
      <c r="H1283" s="117"/>
      <c r="I1283" s="117"/>
      <c r="J1283" s="117"/>
      <c r="K1283" s="117"/>
    </row>
    <row r="1284" spans="1:11" s="123" customFormat="1" ht="15.75" x14ac:dyDescent="0.25">
      <c r="A1284" s="117"/>
      <c r="B1284" s="117"/>
      <c r="C1284" s="117"/>
      <c r="D1284" s="117"/>
      <c r="E1284" s="117"/>
      <c r="F1284" s="117"/>
      <c r="G1284" s="117"/>
      <c r="H1284" s="117"/>
      <c r="I1284" s="117"/>
      <c r="J1284" s="117"/>
      <c r="K1284" s="117"/>
    </row>
  </sheetData>
  <sheetProtection sheet="1" objects="1" scenarios="1"/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A23"/>
  <sheetViews>
    <sheetView view="pageBreakPreview" zoomScale="85" zoomScaleNormal="90" zoomScaleSheetLayoutView="85" workbookViewId="0">
      <selection activeCell="B9" sqref="B9"/>
    </sheetView>
  </sheetViews>
  <sheetFormatPr defaultColWidth="9.140625" defaultRowHeight="15.75" x14ac:dyDescent="0.25"/>
  <cols>
    <col min="1" max="1" width="4.42578125" bestFit="1" customWidth="1"/>
    <col min="2" max="2" width="11.28515625" customWidth="1"/>
    <col min="3" max="3" width="40.7109375" customWidth="1"/>
    <col min="4" max="4" width="47" customWidth="1"/>
    <col min="5" max="5" width="40.7109375" customWidth="1"/>
    <col min="6" max="29" width="6.7109375" style="27" hidden="1" customWidth="1"/>
    <col min="30" max="53" width="6.7109375" style="27" customWidth="1"/>
  </cols>
  <sheetData>
    <row r="1" spans="1:53" ht="15.75" customHeight="1" x14ac:dyDescent="0.25">
      <c r="A1" s="321" t="s">
        <v>68</v>
      </c>
      <c r="B1" s="321" t="s">
        <v>144</v>
      </c>
      <c r="C1" s="321" t="s">
        <v>145</v>
      </c>
      <c r="D1" s="321" t="s">
        <v>146</v>
      </c>
      <c r="E1" s="323" t="s">
        <v>147</v>
      </c>
      <c r="F1" s="77" t="s">
        <v>399</v>
      </c>
      <c r="G1" s="77" t="s">
        <v>190</v>
      </c>
      <c r="H1" s="77" t="s">
        <v>121</v>
      </c>
      <c r="I1" s="77" t="s">
        <v>188</v>
      </c>
      <c r="J1" s="77" t="s">
        <v>179</v>
      </c>
      <c r="K1" s="77" t="s">
        <v>130</v>
      </c>
      <c r="L1" s="77" t="s">
        <v>127</v>
      </c>
      <c r="M1" s="77" t="s">
        <v>131</v>
      </c>
      <c r="N1" s="77" t="s">
        <v>194</v>
      </c>
      <c r="O1" s="77" t="s">
        <v>126</v>
      </c>
      <c r="P1" s="77" t="s">
        <v>132</v>
      </c>
      <c r="Q1" s="77" t="s">
        <v>181</v>
      </c>
      <c r="R1" s="77" t="s">
        <v>183</v>
      </c>
      <c r="S1" s="77" t="s">
        <v>368</v>
      </c>
      <c r="T1" s="77" t="s">
        <v>124</v>
      </c>
      <c r="U1" s="77" t="s">
        <v>128</v>
      </c>
      <c r="V1" s="77" t="s">
        <v>129</v>
      </c>
      <c r="W1" s="77" t="s">
        <v>406</v>
      </c>
      <c r="X1" s="77" t="s">
        <v>185</v>
      </c>
      <c r="Y1" s="77" t="s">
        <v>404</v>
      </c>
      <c r="Z1" s="77" t="s">
        <v>125</v>
      </c>
      <c r="AA1" s="77" t="s">
        <v>402</v>
      </c>
      <c r="AB1" s="77" t="s">
        <v>123</v>
      </c>
      <c r="AC1" s="77" t="s">
        <v>282</v>
      </c>
      <c r="AD1" s="319" t="s">
        <v>119</v>
      </c>
      <c r="AE1" s="319"/>
      <c r="AF1" s="319"/>
      <c r="AG1" s="319"/>
      <c r="AH1" s="319"/>
      <c r="AI1" s="319"/>
      <c r="AJ1" s="319"/>
      <c r="AK1" s="319"/>
      <c r="AL1" s="319"/>
      <c r="AM1" s="319"/>
      <c r="AN1" s="319"/>
      <c r="AO1" s="319"/>
      <c r="AP1" s="319"/>
      <c r="AQ1" s="319"/>
      <c r="AR1" s="319"/>
      <c r="AS1" s="319"/>
      <c r="AT1" s="319"/>
      <c r="AU1" s="319"/>
      <c r="AV1" s="319"/>
      <c r="AW1" s="319"/>
      <c r="AX1" s="319"/>
      <c r="AY1" s="319"/>
      <c r="AZ1" s="319"/>
      <c r="BA1" s="319"/>
    </row>
    <row r="2" spans="1:53" ht="16.5" customHeight="1" thickBot="1" x14ac:dyDescent="0.3">
      <c r="A2" s="322"/>
      <c r="B2" s="322"/>
      <c r="C2" s="322"/>
      <c r="D2" s="322"/>
      <c r="E2" s="324"/>
      <c r="F2" s="77" t="s">
        <v>400</v>
      </c>
      <c r="G2" s="77" t="s">
        <v>191</v>
      </c>
      <c r="H2" s="77" t="s">
        <v>168</v>
      </c>
      <c r="I2" s="77" t="s">
        <v>189</v>
      </c>
      <c r="J2" s="77" t="s">
        <v>180</v>
      </c>
      <c r="K2" s="77" t="s">
        <v>169</v>
      </c>
      <c r="L2" s="77" t="s">
        <v>170</v>
      </c>
      <c r="M2" s="77" t="s">
        <v>171</v>
      </c>
      <c r="N2" s="77" t="s">
        <v>193</v>
      </c>
      <c r="O2" s="77" t="s">
        <v>172</v>
      </c>
      <c r="P2" s="77" t="s">
        <v>173</v>
      </c>
      <c r="Q2" s="77" t="s">
        <v>182</v>
      </c>
      <c r="R2" s="77" t="s">
        <v>184</v>
      </c>
      <c r="S2" s="77" t="s">
        <v>187</v>
      </c>
      <c r="T2" s="77" t="s">
        <v>174</v>
      </c>
      <c r="U2" s="77" t="s">
        <v>175</v>
      </c>
      <c r="V2" s="77" t="s">
        <v>176</v>
      </c>
      <c r="W2" s="77" t="s">
        <v>407</v>
      </c>
      <c r="X2" s="77" t="s">
        <v>186</v>
      </c>
      <c r="Y2" s="77" t="s">
        <v>405</v>
      </c>
      <c r="Z2" s="77" t="s">
        <v>177</v>
      </c>
      <c r="AA2" s="77" t="s">
        <v>403</v>
      </c>
      <c r="AB2" s="77" t="s">
        <v>178</v>
      </c>
      <c r="AC2" s="77" t="s">
        <v>401</v>
      </c>
      <c r="AD2" s="320"/>
      <c r="AE2" s="320"/>
      <c r="AF2" s="320"/>
      <c r="AG2" s="320"/>
      <c r="AH2" s="320"/>
      <c r="AI2" s="320"/>
      <c r="AJ2" s="320"/>
      <c r="AK2" s="320"/>
      <c r="AL2" s="320"/>
      <c r="AM2" s="320"/>
      <c r="AN2" s="320"/>
      <c r="AO2" s="320"/>
      <c r="AP2" s="320"/>
      <c r="AQ2" s="320"/>
      <c r="AR2" s="320"/>
      <c r="AS2" s="320"/>
      <c r="AT2" s="320"/>
      <c r="AU2" s="320"/>
      <c r="AV2" s="320"/>
      <c r="AW2" s="320"/>
      <c r="AX2" s="320"/>
      <c r="AY2" s="320"/>
      <c r="AZ2" s="320"/>
      <c r="BA2" s="320"/>
    </row>
    <row r="3" spans="1:53" ht="26.45" customHeight="1" x14ac:dyDescent="0.25">
      <c r="A3" s="81">
        <v>1</v>
      </c>
      <c r="B3" s="82"/>
      <c r="C3" s="85" t="str">
        <f t="array" ref="C3">IFERROR(INDEX(job_name,MATCH(B3,FMS_Job,0)),"--")</f>
        <v>--</v>
      </c>
      <c r="D3" s="85" t="str">
        <f t="array" ref="D3">IFERROR(INDEX(Lab_Reference,MATCH(B3,FMS_Job,0)),"--")</f>
        <v>--</v>
      </c>
      <c r="E3" s="100"/>
      <c r="F3" s="26" t="str">
        <f t="shared" ref="F3:F22" si="0">IF($E3="",IF(COUNTIF($D3,F$2),F$1,""),IF(COUNTIF($E3,F$2),F$1,""))</f>
        <v/>
      </c>
      <c r="G3" s="26" t="str">
        <f t="shared" ref="G3:AC15" si="1">IF($E3="",IF(COUNTIF($D3,G$2),G$1,""),IF(COUNTIF($E3,G$2),G$1,""))</f>
        <v/>
      </c>
      <c r="H3" s="26" t="str">
        <f t="shared" si="1"/>
        <v/>
      </c>
      <c r="I3" s="26" t="str">
        <f t="shared" si="1"/>
        <v/>
      </c>
      <c r="J3" s="26" t="str">
        <f t="shared" si="1"/>
        <v/>
      </c>
      <c r="K3" s="26" t="str">
        <f t="shared" ref="K3:K15" si="2">IF($E3="",IF(COUNTIF($D3,K$2),K$1,""),IF(COUNTIF($E3,K$2),K$1,""))</f>
        <v/>
      </c>
      <c r="L3" s="26" t="str">
        <f t="shared" ref="L3:L22" si="3">IF($E3="",IF(COUNTIFS($D3,L$2,$D3,"*食鹽*"),"Cu 65",IF(COUNTIF($D3,L$2),L$1,"")),IF(COUNTIFS($E3,L$2,$E3,"*食鹽*"),"Cu 65",IF(COUNTIF($E3,L$2),L$1,"")))</f>
        <v/>
      </c>
      <c r="M3" s="26" t="str">
        <f t="shared" si="1"/>
        <v/>
      </c>
      <c r="N3" s="26" t="str">
        <f t="shared" si="1"/>
        <v/>
      </c>
      <c r="O3" s="26" t="str">
        <f t="shared" si="1"/>
        <v/>
      </c>
      <c r="P3" s="26" t="str">
        <f t="shared" si="1"/>
        <v/>
      </c>
      <c r="Q3" s="26" t="str">
        <f t="shared" si="1"/>
        <v/>
      </c>
      <c r="R3" s="26" t="str">
        <f t="shared" si="1"/>
        <v/>
      </c>
      <c r="S3" s="26" t="str">
        <f t="shared" si="1"/>
        <v/>
      </c>
      <c r="T3" s="26" t="str">
        <f t="shared" si="1"/>
        <v/>
      </c>
      <c r="U3" s="26" t="str">
        <f t="shared" si="1"/>
        <v/>
      </c>
      <c r="V3" s="26" t="str">
        <f t="shared" si="1"/>
        <v/>
      </c>
      <c r="W3" s="26" t="str">
        <f t="shared" si="1"/>
        <v/>
      </c>
      <c r="X3" s="26" t="str">
        <f t="shared" si="1"/>
        <v/>
      </c>
      <c r="Y3" s="26" t="str">
        <f t="shared" si="1"/>
        <v/>
      </c>
      <c r="Z3" s="26" t="str">
        <f t="shared" si="1"/>
        <v/>
      </c>
      <c r="AA3" s="26" t="str">
        <f t="shared" si="1"/>
        <v/>
      </c>
      <c r="AB3" s="26" t="str">
        <f t="shared" ref="AB3:AB14" si="4">IF($E3="",IF(COUNTIF($D3,AB$2),AB$1,""),IF(COUNTIF($E3,AB$2),AB$1,""))</f>
        <v/>
      </c>
      <c r="AC3" s="26" t="str">
        <f t="shared" si="1"/>
        <v/>
      </c>
      <c r="AD3" s="78" t="str" cm="1">
        <f t="array" aca="1" ref="AD3" ca="1">IF(SMALL(IF(($F3:$AC3&lt;&gt;""),COLUMN($F3:$AC3),999),COLUMN(A:A))=999,"",OFFSET($F3,0,SMALL(IF(($F3:$AC3&lt;&gt;""),COLUMN($F3:$AC3),999),COLUMN(A:A))-6))</f>
        <v/>
      </c>
      <c r="AE3" s="78" t="str" cm="1">
        <f t="array" aca="1" ref="AE3" ca="1">IF(SMALL(IF(($F3:$AC3&lt;&gt;""),COLUMN($F3:$AC3),999),COLUMN(B:B))=999,"",OFFSET($F3,0,SMALL(IF(($F3:$AC3&lt;&gt;""),COLUMN($F3:$AC3),999),COLUMN(B:B))-6))</f>
        <v/>
      </c>
      <c r="AF3" s="78" t="str" cm="1">
        <f t="array" aca="1" ref="AF3" ca="1">IF(SMALL(IF(($F3:$AC3&lt;&gt;""),COLUMN($F3:$AC3),999),COLUMN(C:C))=999,"",OFFSET($F3,0,SMALL(IF(($F3:$AC3&lt;&gt;""),COLUMN($F3:$AC3),999),COLUMN(C:C))-6))</f>
        <v/>
      </c>
      <c r="AG3" s="78" t="str" cm="1">
        <f t="array" aca="1" ref="AG3" ca="1">IF(SMALL(IF(($F3:$AC3&lt;&gt;""),COLUMN($F3:$AC3),999),COLUMN(D:D))=999,"",OFFSET($F3,0,SMALL(IF(($F3:$AC3&lt;&gt;""),COLUMN($F3:$AC3),999),COLUMN(D:D))-6))</f>
        <v/>
      </c>
      <c r="AH3" s="78" t="str" cm="1">
        <f t="array" aca="1" ref="AH3" ca="1">IF(SMALL(IF(($F3:$AC3&lt;&gt;""),COLUMN($F3:$AC3),999),COLUMN(E:E))=999,"",OFFSET($F3,0,SMALL(IF(($F3:$AC3&lt;&gt;""),COLUMN($F3:$AC3),999),COLUMN(E:E))-6))</f>
        <v/>
      </c>
      <c r="AI3" s="78" t="str" cm="1">
        <f t="array" aca="1" ref="AI3" ca="1">IF(SMALL(IF(($F3:$AC3&lt;&gt;""),COLUMN($F3:$AC3),999),COLUMN(F:F))=999,"",OFFSET($F3,0,SMALL(IF(($F3:$AC3&lt;&gt;""),COLUMN($F3:$AC3),999),COLUMN(F:F))-6))</f>
        <v/>
      </c>
      <c r="AJ3" s="78" t="str" cm="1">
        <f t="array" aca="1" ref="AJ3" ca="1">IF(SMALL(IF(($F3:$AC3&lt;&gt;""),COLUMN($F3:$AC3),999),COLUMN(G:G))=999,"",OFFSET($F3,0,SMALL(IF(($F3:$AC3&lt;&gt;""),COLUMN($F3:$AC3),999),COLUMN(G:G))-6))</f>
        <v/>
      </c>
      <c r="AK3" s="78" t="str" cm="1">
        <f t="array" aca="1" ref="AK3" ca="1">IF(SMALL(IF(($F3:$AC3&lt;&gt;""),COLUMN($F3:$AC3),999),COLUMN(H:H))=999,"",OFFSET($F3,0,SMALL(IF(($F3:$AC3&lt;&gt;""),COLUMN($F3:$AC3),999),COLUMN(H:H))-6))</f>
        <v/>
      </c>
      <c r="AL3" s="78" t="str" cm="1">
        <f t="array" aca="1" ref="AL3" ca="1">IF(SMALL(IF(($F3:$AC3&lt;&gt;""),COLUMN($F3:$AC3),999),COLUMN(I:I))=999,"",OFFSET($F3,0,SMALL(IF(($F3:$AC3&lt;&gt;""),COLUMN($F3:$AC3),999),COLUMN(I:I))-6))</f>
        <v/>
      </c>
      <c r="AM3" s="78" t="str">
        <f t="array" aca="1" ref="AM3" ca="1">IF(SMALL(IF(($F3:$AC3&lt;&gt;""),COLUMN($F3:$AC3),999),COLUMN(J:J))=999,"",OFFSET($F3,0,SMALL(IF(($F3:$AC3&lt;&gt;""),COLUMN($F3:$AC3),999),COLUMN(J:J))-6))</f>
        <v/>
      </c>
      <c r="AN3" s="78" t="str">
        <f t="array" aca="1" ref="AN3" ca="1">IF(SMALL(IF(($F3:$AC3&lt;&gt;""),COLUMN($F3:$AC3),999),COLUMN(K:K))=999,"",OFFSET($F3,0,SMALL(IF(($F3:$AC3&lt;&gt;""),COLUMN($F3:$AC3),999),COLUMN(K:K))-6))</f>
        <v/>
      </c>
      <c r="AO3" s="78" t="str">
        <f t="array" aca="1" ref="AO3" ca="1">IF(SMALL(IF(($F3:$AC3&lt;&gt;""),COLUMN($F3:$AC3),999),COLUMN(L:L))=999,"",OFFSET($F3,0,SMALL(IF(($F3:$AC3&lt;&gt;""),COLUMN($F3:$AC3),999),COLUMN(L:L))-6))</f>
        <v/>
      </c>
      <c r="AP3" s="78" t="str">
        <f t="array" aca="1" ref="AP3" ca="1">IF(SMALL(IF(($F3:$AC3&lt;&gt;""),COLUMN($F3:$AC3),999),COLUMN(M:M))=999,"",OFFSET($F3,0,SMALL(IF(($F3:$AC3&lt;&gt;""),COLUMN($F3:$AC3),999),COLUMN(M:M))-6))</f>
        <v/>
      </c>
      <c r="AQ3" s="78" t="str">
        <f t="array" aca="1" ref="AQ3" ca="1">IF(SMALL(IF(($F3:$AC3&lt;&gt;""),COLUMN($F3:$AC3),999),COLUMN(N:N))=999,"",OFFSET($F3,0,SMALL(IF(($F3:$AC3&lt;&gt;""),COLUMN($F3:$AC3),999),COLUMN(N:N))-6))</f>
        <v/>
      </c>
      <c r="AR3" s="78" t="str">
        <f t="array" aca="1" ref="AR3" ca="1">IF(SMALL(IF(($F3:$AC3&lt;&gt;""),COLUMN($F3:$AC3),999),COLUMN(O:O))=999,"",OFFSET($F3,0,SMALL(IF(($F3:$AC3&lt;&gt;""),COLUMN($F3:$AC3),999),COLUMN(O:O))-6))</f>
        <v/>
      </c>
      <c r="AS3" s="78" t="str">
        <f t="array" aca="1" ref="AS3" ca="1">IF(SMALL(IF(($F3:$AC3&lt;&gt;""),COLUMN($F3:$AC3),999),COLUMN(P:P))=999,"",OFFSET($F3,0,SMALL(IF(($F3:$AC3&lt;&gt;""),COLUMN($F3:$AC3),999),COLUMN(P:P))-6))</f>
        <v/>
      </c>
      <c r="AT3" s="78" t="str">
        <f t="array" aca="1" ref="AT3" ca="1">IF(SMALL(IF(($F3:$AC3&lt;&gt;""),COLUMN($F3:$AC3),999),COLUMN(Q:Q))=999,"",OFFSET($F3,0,SMALL(IF(($F3:$AC3&lt;&gt;""),COLUMN($F3:$AC3),999),COLUMN(Q:Q))-6))</f>
        <v/>
      </c>
      <c r="AU3" s="78" t="str">
        <f t="array" aca="1" ref="AU3" ca="1">IF(SMALL(IF(($F3:$AC3&lt;&gt;""),COLUMN($F3:$AC3),999),COLUMN(R:R))=999,"",OFFSET($F3,0,SMALL(IF(($F3:$AC3&lt;&gt;""),COLUMN($F3:$AC3),999),COLUMN(R:R))-6))</f>
        <v/>
      </c>
      <c r="AV3" s="78" t="str">
        <f t="array" aca="1" ref="AV3" ca="1">IF(SMALL(IF(($F3:$AC3&lt;&gt;""),COLUMN($F3:$AC3),999),COLUMN(S:S))=999,"",OFFSET($F3,0,SMALL(IF(($F3:$AC3&lt;&gt;""),COLUMN($F3:$AC3),999),COLUMN(S:S))-6))</f>
        <v/>
      </c>
      <c r="AW3" s="78" t="str">
        <f t="array" aca="1" ref="AW3" ca="1">IF(SMALL(IF(($F3:$AC3&lt;&gt;""),COLUMN($F3:$AC3),999),COLUMN(T:T))=999,"",OFFSET($F3,0,SMALL(IF(($F3:$AC3&lt;&gt;""),COLUMN($F3:$AC3),999),COLUMN(T:T))-6))</f>
        <v/>
      </c>
      <c r="AX3" s="78" t="str">
        <f t="array" aca="1" ref="AX3" ca="1">IF(SMALL(IF(($F3:$AC3&lt;&gt;""),COLUMN($F3:$AC3),999),COLUMN(U:U))=999,"",OFFSET($F3,0,SMALL(IF(($F3:$AC3&lt;&gt;""),COLUMN($F3:$AC3),999),COLUMN(U:U))-6))</f>
        <v/>
      </c>
      <c r="AY3" s="78" t="str">
        <f t="array" aca="1" ref="AY3" ca="1">IF(SMALL(IF(($F3:$AC3&lt;&gt;""),COLUMN($F3:$AC3),999),COLUMN(V:V))=999,"",OFFSET($F3,0,SMALL(IF(($F3:$AC3&lt;&gt;""),COLUMN($F3:$AC3),999),COLUMN(V:V))-6))</f>
        <v/>
      </c>
      <c r="AZ3" s="78" t="str">
        <f t="array" aca="1" ref="AZ3" ca="1">IF(SMALL(IF(($F3:$AC3&lt;&gt;""),COLUMN($F3:$AC3),999),COLUMN(W:W))=999,"",OFFSET($F3,0,SMALL(IF(($F3:$AC3&lt;&gt;""),COLUMN($F3:$AC3),999),COLUMN(W:W))-6))</f>
        <v/>
      </c>
      <c r="BA3" s="78" t="str">
        <f t="array" aca="1" ref="BA3" ca="1">IF(SMALL(IF(($F3:$AC3&lt;&gt;""),COLUMN($F3:$AC3),999),COLUMN(X:X))=999,"",OFFSET($F3,0,SMALL(IF(($F3:$AC3&lt;&gt;""),COLUMN($F3:$AC3),999),COLUMN(X:X))-6))</f>
        <v/>
      </c>
    </row>
    <row r="4" spans="1:53" ht="26.45" customHeight="1" x14ac:dyDescent="0.25">
      <c r="A4" s="83">
        <v>2</v>
      </c>
      <c r="B4" s="86" t="str">
        <f>IF(B3="","",B3)</f>
        <v/>
      </c>
      <c r="C4" s="86" t="str">
        <f t="array" ref="C4">IFERROR(INDEX(job_name,MATCH(B4,FMS_Job,0)),"--")</f>
        <v>--</v>
      </c>
      <c r="D4" s="86" t="str">
        <f t="array" ref="D4">IFERROR(INDEX(Lab_Reference,MATCH(B4,FMS_Job,0)),"--")</f>
        <v>--</v>
      </c>
      <c r="E4" s="218" t="str">
        <f>IF(E3="","",E3)</f>
        <v/>
      </c>
      <c r="F4" s="26" t="str">
        <f t="shared" si="0"/>
        <v/>
      </c>
      <c r="G4" s="26" t="str">
        <f t="shared" si="1"/>
        <v/>
      </c>
      <c r="H4" s="26" t="str">
        <f t="shared" si="1"/>
        <v/>
      </c>
      <c r="I4" s="26" t="str">
        <f t="shared" si="1"/>
        <v/>
      </c>
      <c r="J4" s="26" t="str">
        <f t="shared" si="1"/>
        <v/>
      </c>
      <c r="K4" s="26" t="str">
        <f t="shared" si="2"/>
        <v/>
      </c>
      <c r="L4" s="26" t="str">
        <f t="shared" si="3"/>
        <v/>
      </c>
      <c r="M4" s="26" t="str">
        <f t="shared" si="1"/>
        <v/>
      </c>
      <c r="N4" s="26" t="str">
        <f t="shared" si="1"/>
        <v/>
      </c>
      <c r="O4" s="26" t="str">
        <f t="shared" si="1"/>
        <v/>
      </c>
      <c r="P4" s="26" t="str">
        <f t="shared" si="1"/>
        <v/>
      </c>
      <c r="Q4" s="26" t="str">
        <f t="shared" si="1"/>
        <v/>
      </c>
      <c r="R4" s="26" t="str">
        <f t="shared" si="1"/>
        <v/>
      </c>
      <c r="S4" s="26" t="str">
        <f t="shared" si="1"/>
        <v/>
      </c>
      <c r="T4" s="26" t="str">
        <f t="shared" si="1"/>
        <v/>
      </c>
      <c r="U4" s="26" t="str">
        <f t="shared" si="1"/>
        <v/>
      </c>
      <c r="V4" s="26" t="str">
        <f t="shared" si="1"/>
        <v/>
      </c>
      <c r="W4" s="26" t="str">
        <f t="shared" si="1"/>
        <v/>
      </c>
      <c r="X4" s="26" t="str">
        <f t="shared" si="1"/>
        <v/>
      </c>
      <c r="Y4" s="26" t="str">
        <f t="shared" si="1"/>
        <v/>
      </c>
      <c r="Z4" s="26" t="str">
        <f t="shared" si="1"/>
        <v/>
      </c>
      <c r="AA4" s="26" t="str">
        <f t="shared" si="1"/>
        <v/>
      </c>
      <c r="AB4" s="26" t="str">
        <f t="shared" si="4"/>
        <v/>
      </c>
      <c r="AC4" s="26" t="str">
        <f t="shared" si="1"/>
        <v/>
      </c>
      <c r="AD4" s="78" t="str">
        <f t="array" aca="1" ref="AD4" ca="1">IF(SMALL(IF(($F4:$AC4&lt;&gt;""),COLUMN($F4:$AC4),999),COLUMN(A:A))=999,"",OFFSET($F4,0,SMALL(IF(($F4:$AC4&lt;&gt;""),COLUMN($F4:$AC4),999),COLUMN(A:A))-6))</f>
        <v/>
      </c>
      <c r="AE4" s="78" t="str">
        <f t="array" aca="1" ref="AE4" ca="1">IF(SMALL(IF(($F4:$AC4&lt;&gt;""),COLUMN($F4:$AC4),999),COLUMN(B:B))=999,"",OFFSET($F4,0,SMALL(IF(($F4:$AC4&lt;&gt;""),COLUMN($F4:$AC4),999),COLUMN(B:B))-6))</f>
        <v/>
      </c>
      <c r="AF4" s="78" t="str">
        <f t="array" aca="1" ref="AF4" ca="1">IF(SMALL(IF(($F4:$AC4&lt;&gt;""),COLUMN($F4:$AC4),999),COLUMN(C:C))=999,"",OFFSET($F4,0,SMALL(IF(($F4:$AC4&lt;&gt;""),COLUMN($F4:$AC4),999),COLUMN(C:C))-6))</f>
        <v/>
      </c>
      <c r="AG4" s="78" t="str">
        <f t="array" aca="1" ref="AG4" ca="1">IF(SMALL(IF(($F4:$AC4&lt;&gt;""),COLUMN($F4:$AC4),999),COLUMN(D:D))=999,"",OFFSET($F4,0,SMALL(IF(($F4:$AC4&lt;&gt;""),COLUMN($F4:$AC4),999),COLUMN(D:D))-6))</f>
        <v/>
      </c>
      <c r="AH4" s="78" t="str">
        <f t="array" aca="1" ref="AH4" ca="1">IF(SMALL(IF(($F4:$AC4&lt;&gt;""),COLUMN($F4:$AC4),999),COLUMN(E:E))=999,"",OFFSET($F4,0,SMALL(IF(($F4:$AC4&lt;&gt;""),COLUMN($F4:$AC4),999),COLUMN(E:E))-6))</f>
        <v/>
      </c>
      <c r="AI4" s="78" t="str">
        <f t="array" aca="1" ref="AI4" ca="1">IF(SMALL(IF(($F4:$AC4&lt;&gt;""),COLUMN($F4:$AC4),999),COLUMN(F:F))=999,"",OFFSET($F4,0,SMALL(IF(($F4:$AC4&lt;&gt;""),COLUMN($F4:$AC4),999),COLUMN(F:F))-6))</f>
        <v/>
      </c>
      <c r="AJ4" s="78" t="str">
        <f t="array" aca="1" ref="AJ4" ca="1">IF(SMALL(IF(($F4:$AC4&lt;&gt;""),COLUMN($F4:$AC4),999),COLUMN(G:G))=999,"",OFFSET($F4,0,SMALL(IF(($F4:$AC4&lt;&gt;""),COLUMN($F4:$AC4),999),COLUMN(G:G))-6))</f>
        <v/>
      </c>
      <c r="AK4" s="78" t="str">
        <f t="array" aca="1" ref="AK4" ca="1">IF(SMALL(IF(($F4:$AC4&lt;&gt;""),COLUMN($F4:$AC4),999),COLUMN(H:H))=999,"",OFFSET($F4,0,SMALL(IF(($F4:$AC4&lt;&gt;""),COLUMN($F4:$AC4),999),COLUMN(H:H))-6))</f>
        <v/>
      </c>
      <c r="AL4" s="78" t="str">
        <f t="array" aca="1" ref="AL4" ca="1">IF(SMALL(IF(($F4:$AC4&lt;&gt;""),COLUMN($F4:$AC4),999),COLUMN(I:I))=999,"",OFFSET($F4,0,SMALL(IF(($F4:$AC4&lt;&gt;""),COLUMN($F4:$AC4),999),COLUMN(I:I))-6))</f>
        <v/>
      </c>
      <c r="AM4" s="78" t="str">
        <f t="array" aca="1" ref="AM4" ca="1">IF(SMALL(IF(($F4:$AC4&lt;&gt;""),COLUMN($F4:$AC4),999),COLUMN(J:J))=999,"",OFFSET($F4,0,SMALL(IF(($F4:$AC4&lt;&gt;""),COLUMN($F4:$AC4),999),COLUMN(J:J))-6))</f>
        <v/>
      </c>
      <c r="AN4" s="78" t="str">
        <f t="array" aca="1" ref="AN4" ca="1">IF(SMALL(IF(($F4:$AC4&lt;&gt;""),COLUMN($F4:$AC4),999),COLUMN(K:K))=999,"",OFFSET($F4,0,SMALL(IF(($F4:$AC4&lt;&gt;""),COLUMN($F4:$AC4),999),COLUMN(K:K))-6))</f>
        <v/>
      </c>
      <c r="AO4" s="78" t="str">
        <f t="array" aca="1" ref="AO4" ca="1">IF(SMALL(IF(($F4:$AC4&lt;&gt;""),COLUMN($F4:$AC4),999),COLUMN(L:L))=999,"",OFFSET($F4,0,SMALL(IF(($F4:$AC4&lt;&gt;""),COLUMN($F4:$AC4),999),COLUMN(L:L))-6))</f>
        <v/>
      </c>
      <c r="AP4" s="78" t="str">
        <f t="array" aca="1" ref="AP4" ca="1">IF(SMALL(IF(($F4:$AC4&lt;&gt;""),COLUMN($F4:$AC4),999),COLUMN(M:M))=999,"",OFFSET($F4,0,SMALL(IF(($F4:$AC4&lt;&gt;""),COLUMN($F4:$AC4),999),COLUMN(M:M))-6))</f>
        <v/>
      </c>
      <c r="AQ4" s="78" t="str">
        <f t="array" aca="1" ref="AQ4" ca="1">IF(SMALL(IF(($F4:$AC4&lt;&gt;""),COLUMN($F4:$AC4),999),COLUMN(N:N))=999,"",OFFSET($F4,0,SMALL(IF(($F4:$AC4&lt;&gt;""),COLUMN($F4:$AC4),999),COLUMN(N:N))-6))</f>
        <v/>
      </c>
      <c r="AR4" s="78" t="str">
        <f t="array" aca="1" ref="AR4" ca="1">IF(SMALL(IF(($F4:$AC4&lt;&gt;""),COLUMN($F4:$AC4),999),COLUMN(O:O))=999,"",OFFSET($F4,0,SMALL(IF(($F4:$AC4&lt;&gt;""),COLUMN($F4:$AC4),999),COLUMN(O:O))-6))</f>
        <v/>
      </c>
      <c r="AS4" s="78" t="str">
        <f t="array" aca="1" ref="AS4" ca="1">IF(SMALL(IF(($F4:$AC4&lt;&gt;""),COLUMN($F4:$AC4),999),COLUMN(P:P))=999,"",OFFSET($F4,0,SMALL(IF(($F4:$AC4&lt;&gt;""),COLUMN($F4:$AC4),999),COLUMN(P:P))-6))</f>
        <v/>
      </c>
      <c r="AT4" s="78" t="str">
        <f t="array" aca="1" ref="AT4" ca="1">IF(SMALL(IF(($F4:$AC4&lt;&gt;""),COLUMN($F4:$AC4),999),COLUMN(Q:Q))=999,"",OFFSET($F4,0,SMALL(IF(($F4:$AC4&lt;&gt;""),COLUMN($F4:$AC4),999),COLUMN(Q:Q))-6))</f>
        <v/>
      </c>
      <c r="AU4" s="78" t="str">
        <f t="array" aca="1" ref="AU4" ca="1">IF(SMALL(IF(($F4:$AC4&lt;&gt;""),COLUMN($F4:$AC4),999),COLUMN(R:R))=999,"",OFFSET($F4,0,SMALL(IF(($F4:$AC4&lt;&gt;""),COLUMN($F4:$AC4),999),COLUMN(R:R))-6))</f>
        <v/>
      </c>
      <c r="AV4" s="78" t="str">
        <f t="array" aca="1" ref="AV4" ca="1">IF(SMALL(IF(($F4:$AC4&lt;&gt;""),COLUMN($F4:$AC4),999),COLUMN(S:S))=999,"",OFFSET($F4,0,SMALL(IF(($F4:$AC4&lt;&gt;""),COLUMN($F4:$AC4),999),COLUMN(S:S))-6))</f>
        <v/>
      </c>
      <c r="AW4" s="78" t="str">
        <f t="array" aca="1" ref="AW4" ca="1">IF(SMALL(IF(($F4:$AC4&lt;&gt;""),COLUMN($F4:$AC4),999),COLUMN(T:T))=999,"",OFFSET($F4,0,SMALL(IF(($F4:$AC4&lt;&gt;""),COLUMN($F4:$AC4),999),COLUMN(T:T))-6))</f>
        <v/>
      </c>
      <c r="AX4" s="78" t="str">
        <f t="array" aca="1" ref="AX4" ca="1">IF(SMALL(IF(($F4:$AC4&lt;&gt;""),COLUMN($F4:$AC4),999),COLUMN(U:U))=999,"",OFFSET($F4,0,SMALL(IF(($F4:$AC4&lt;&gt;""),COLUMN($F4:$AC4),999),COLUMN(U:U))-6))</f>
        <v/>
      </c>
      <c r="AY4" s="78" t="str">
        <f t="array" aca="1" ref="AY4" ca="1">IF(SMALL(IF(($F4:$AC4&lt;&gt;""),COLUMN($F4:$AC4),999),COLUMN(V:V))=999,"",OFFSET($F4,0,SMALL(IF(($F4:$AC4&lt;&gt;""),COLUMN($F4:$AC4),999),COLUMN(V:V))-6))</f>
        <v/>
      </c>
      <c r="AZ4" s="78" t="str">
        <f t="array" aca="1" ref="AZ4" ca="1">IF(SMALL(IF(($F4:$AC4&lt;&gt;""),COLUMN($F4:$AC4),999),COLUMN(W:W))=999,"",OFFSET($F4,0,SMALL(IF(($F4:$AC4&lt;&gt;""),COLUMN($F4:$AC4),999),COLUMN(W:W))-6))</f>
        <v/>
      </c>
      <c r="BA4" s="78" t="str">
        <f t="array" aca="1" ref="BA4" ca="1">IF(SMALL(IF(($F4:$AC4&lt;&gt;""),COLUMN($F4:$AC4),999),COLUMN(X:X))=999,"",OFFSET($F4,0,SMALL(IF(($F4:$AC4&lt;&gt;""),COLUMN($F4:$AC4),999),COLUMN(X:X))-6))</f>
        <v/>
      </c>
    </row>
    <row r="5" spans="1:53" ht="26.45" customHeight="1" x14ac:dyDescent="0.25">
      <c r="A5" s="83">
        <v>3</v>
      </c>
      <c r="B5" s="80"/>
      <c r="C5" s="86" t="str">
        <f t="array" ref="C5">IFERROR(INDEX(job_name,MATCH(B5,FMS_Job,0)),"--")</f>
        <v>--</v>
      </c>
      <c r="D5" s="86" t="str">
        <f t="array" ref="D5">IFERROR(INDEX(Lab_Reference,MATCH(B5,FMS_Job,0)),"--")</f>
        <v>--</v>
      </c>
      <c r="E5" s="102"/>
      <c r="F5" s="26" t="str">
        <f t="shared" si="0"/>
        <v/>
      </c>
      <c r="G5" s="26" t="str">
        <f t="shared" si="1"/>
        <v/>
      </c>
      <c r="H5" s="26" t="str">
        <f t="shared" si="1"/>
        <v/>
      </c>
      <c r="I5" s="26" t="str">
        <f t="shared" si="1"/>
        <v/>
      </c>
      <c r="J5" s="26" t="str">
        <f t="shared" si="1"/>
        <v/>
      </c>
      <c r="K5" s="26" t="str">
        <f t="shared" si="2"/>
        <v/>
      </c>
      <c r="L5" s="26" t="str">
        <f t="shared" si="3"/>
        <v/>
      </c>
      <c r="M5" s="26" t="str">
        <f t="shared" si="1"/>
        <v/>
      </c>
      <c r="N5" s="26" t="str">
        <f t="shared" si="1"/>
        <v/>
      </c>
      <c r="O5" s="26" t="str">
        <f t="shared" si="1"/>
        <v/>
      </c>
      <c r="P5" s="26" t="str">
        <f t="shared" si="1"/>
        <v/>
      </c>
      <c r="Q5" s="26" t="str">
        <f t="shared" si="1"/>
        <v/>
      </c>
      <c r="R5" s="26" t="str">
        <f t="shared" si="1"/>
        <v/>
      </c>
      <c r="S5" s="26" t="str">
        <f t="shared" si="1"/>
        <v/>
      </c>
      <c r="T5" s="26" t="str">
        <f t="shared" si="1"/>
        <v/>
      </c>
      <c r="U5" s="26" t="str">
        <f t="shared" si="1"/>
        <v/>
      </c>
      <c r="V5" s="26" t="str">
        <f t="shared" si="1"/>
        <v/>
      </c>
      <c r="W5" s="26" t="str">
        <f t="shared" si="1"/>
        <v/>
      </c>
      <c r="X5" s="26" t="str">
        <f t="shared" si="1"/>
        <v/>
      </c>
      <c r="Y5" s="26" t="str">
        <f t="shared" si="1"/>
        <v/>
      </c>
      <c r="Z5" s="26" t="str">
        <f t="shared" si="1"/>
        <v/>
      </c>
      <c r="AA5" s="26" t="str">
        <f t="shared" si="1"/>
        <v/>
      </c>
      <c r="AB5" s="26" t="str">
        <f t="shared" si="4"/>
        <v/>
      </c>
      <c r="AC5" s="26" t="str">
        <f t="shared" si="1"/>
        <v/>
      </c>
      <c r="AD5" s="78" t="str">
        <f t="array" aca="1" ref="AD5" ca="1">IF(SMALL(IF(($F5:$AC5&lt;&gt;""),COLUMN($F5:$AC5),999),COLUMN(A:A))=999,"",OFFSET($F5,0,SMALL(IF(($F5:$AC5&lt;&gt;""),COLUMN($F5:$AC5),999),COLUMN(A:A))-6))</f>
        <v/>
      </c>
      <c r="AE5" s="78" t="str">
        <f t="array" aca="1" ref="AE5" ca="1">IF(SMALL(IF(($F5:$AC5&lt;&gt;""),COLUMN($F5:$AC5),999),COLUMN(B:B))=999,"",OFFSET($F5,0,SMALL(IF(($F5:$AC5&lt;&gt;""),COLUMN($F5:$AC5),999),COLUMN(B:B))-6))</f>
        <v/>
      </c>
      <c r="AF5" s="78" t="str">
        <f t="array" aca="1" ref="AF5" ca="1">IF(SMALL(IF(($F5:$AC5&lt;&gt;""),COLUMN($F5:$AC5),999),COLUMN(C:C))=999,"",OFFSET($F5,0,SMALL(IF(($F5:$AC5&lt;&gt;""),COLUMN($F5:$AC5),999),COLUMN(C:C))-6))</f>
        <v/>
      </c>
      <c r="AG5" s="78" t="str">
        <f t="array" aca="1" ref="AG5" ca="1">IF(SMALL(IF(($F5:$AC5&lt;&gt;""),COLUMN($F5:$AC5),999),COLUMN(D:D))=999,"",OFFSET($F5,0,SMALL(IF(($F5:$AC5&lt;&gt;""),COLUMN($F5:$AC5),999),COLUMN(D:D))-6))</f>
        <v/>
      </c>
      <c r="AH5" s="78" t="str">
        <f t="array" aca="1" ref="AH5" ca="1">IF(SMALL(IF(($F5:$AC5&lt;&gt;""),COLUMN($F5:$AC5),999),COLUMN(E:E))=999,"",OFFSET($F5,0,SMALL(IF(($F5:$AC5&lt;&gt;""),COLUMN($F5:$AC5),999),COLUMN(E:E))-6))</f>
        <v/>
      </c>
      <c r="AI5" s="78" t="str">
        <f t="array" aca="1" ref="AI5" ca="1">IF(SMALL(IF(($F5:$AC5&lt;&gt;""),COLUMN($F5:$AC5),999),COLUMN(F:F))=999,"",OFFSET($F5,0,SMALL(IF(($F5:$AC5&lt;&gt;""),COLUMN($F5:$AC5),999),COLUMN(F:F))-6))</f>
        <v/>
      </c>
      <c r="AJ5" s="78" t="str">
        <f t="array" aca="1" ref="AJ5" ca="1">IF(SMALL(IF(($F5:$AC5&lt;&gt;""),COLUMN($F5:$AC5),999),COLUMN(G:G))=999,"",OFFSET($F5,0,SMALL(IF(($F5:$AC5&lt;&gt;""),COLUMN($F5:$AC5),999),COLUMN(G:G))-6))</f>
        <v/>
      </c>
      <c r="AK5" s="78" t="str">
        <f t="array" aca="1" ref="AK5" ca="1">IF(SMALL(IF(($F5:$AC5&lt;&gt;""),COLUMN($F5:$AC5),999),COLUMN(H:H))=999,"",OFFSET($F5,0,SMALL(IF(($F5:$AC5&lt;&gt;""),COLUMN($F5:$AC5),999),COLUMN(H:H))-6))</f>
        <v/>
      </c>
      <c r="AL5" s="78" t="str">
        <f t="array" aca="1" ref="AL5" ca="1">IF(SMALL(IF(($F5:$AC5&lt;&gt;""),COLUMN($F5:$AC5),999),COLUMN(I:I))=999,"",OFFSET($F5,0,SMALL(IF(($F5:$AC5&lt;&gt;""),COLUMN($F5:$AC5),999),COLUMN(I:I))-6))</f>
        <v/>
      </c>
      <c r="AM5" s="78" t="str">
        <f t="array" aca="1" ref="AM5" ca="1">IF(SMALL(IF(($F5:$AC5&lt;&gt;""),COLUMN($F5:$AC5),999),COLUMN(J:J))=999,"",OFFSET($F5,0,SMALL(IF(($F5:$AC5&lt;&gt;""),COLUMN($F5:$AC5),999),COLUMN(J:J))-6))</f>
        <v/>
      </c>
      <c r="AN5" s="78" t="str">
        <f t="array" aca="1" ref="AN5" ca="1">IF(SMALL(IF(($F5:$AC5&lt;&gt;""),COLUMN($F5:$AC5),999),COLUMN(K:K))=999,"",OFFSET($F5,0,SMALL(IF(($F5:$AC5&lt;&gt;""),COLUMN($F5:$AC5),999),COLUMN(K:K))-6))</f>
        <v/>
      </c>
      <c r="AO5" s="78" t="str">
        <f t="array" aca="1" ref="AO5" ca="1">IF(SMALL(IF(($F5:$AC5&lt;&gt;""),COLUMN($F5:$AC5),999),COLUMN(L:L))=999,"",OFFSET($F5,0,SMALL(IF(($F5:$AC5&lt;&gt;""),COLUMN($F5:$AC5),999),COLUMN(L:L))-6))</f>
        <v/>
      </c>
      <c r="AP5" s="78" t="str">
        <f t="array" aca="1" ref="AP5" ca="1">IF(SMALL(IF(($F5:$AC5&lt;&gt;""),COLUMN($F5:$AC5),999),COLUMN(M:M))=999,"",OFFSET($F5,0,SMALL(IF(($F5:$AC5&lt;&gt;""),COLUMN($F5:$AC5),999),COLUMN(M:M))-6))</f>
        <v/>
      </c>
      <c r="AQ5" s="78" t="str">
        <f t="array" aca="1" ref="AQ5" ca="1">IF(SMALL(IF(($F5:$AC5&lt;&gt;""),COLUMN($F5:$AC5),999),COLUMN(N:N))=999,"",OFFSET($F5,0,SMALL(IF(($F5:$AC5&lt;&gt;""),COLUMN($F5:$AC5),999),COLUMN(N:N))-6))</f>
        <v/>
      </c>
      <c r="AR5" s="78" t="str">
        <f t="array" aca="1" ref="AR5" ca="1">IF(SMALL(IF(($F5:$AC5&lt;&gt;""),COLUMN($F5:$AC5),999),COLUMN(O:O))=999,"",OFFSET($F5,0,SMALL(IF(($F5:$AC5&lt;&gt;""),COLUMN($F5:$AC5),999),COLUMN(O:O))-6))</f>
        <v/>
      </c>
      <c r="AS5" s="78" t="str">
        <f t="array" aca="1" ref="AS5" ca="1">IF(SMALL(IF(($F5:$AC5&lt;&gt;""),COLUMN($F5:$AC5),999),COLUMN(P:P))=999,"",OFFSET($F5,0,SMALL(IF(($F5:$AC5&lt;&gt;""),COLUMN($F5:$AC5),999),COLUMN(P:P))-6))</f>
        <v/>
      </c>
      <c r="AT5" s="78" t="str">
        <f t="array" aca="1" ref="AT5" ca="1">IF(SMALL(IF(($F5:$AC5&lt;&gt;""),COLUMN($F5:$AC5),999),COLUMN(Q:Q))=999,"",OFFSET($F5,0,SMALL(IF(($F5:$AC5&lt;&gt;""),COLUMN($F5:$AC5),999),COLUMN(Q:Q))-6))</f>
        <v/>
      </c>
      <c r="AU5" s="78" t="str">
        <f t="array" aca="1" ref="AU5" ca="1">IF(SMALL(IF(($F5:$AC5&lt;&gt;""),COLUMN($F5:$AC5),999),COLUMN(R:R))=999,"",OFFSET($F5,0,SMALL(IF(($F5:$AC5&lt;&gt;""),COLUMN($F5:$AC5),999),COLUMN(R:R))-6))</f>
        <v/>
      </c>
      <c r="AV5" s="78" t="str">
        <f t="array" aca="1" ref="AV5" ca="1">IF(SMALL(IF(($F5:$AC5&lt;&gt;""),COLUMN($F5:$AC5),999),COLUMN(S:S))=999,"",OFFSET($F5,0,SMALL(IF(($F5:$AC5&lt;&gt;""),COLUMN($F5:$AC5),999),COLUMN(S:S))-6))</f>
        <v/>
      </c>
      <c r="AW5" s="78" t="str">
        <f t="array" aca="1" ref="AW5" ca="1">IF(SMALL(IF(($F5:$AC5&lt;&gt;""),COLUMN($F5:$AC5),999),COLUMN(T:T))=999,"",OFFSET($F5,0,SMALL(IF(($F5:$AC5&lt;&gt;""),COLUMN($F5:$AC5),999),COLUMN(T:T))-6))</f>
        <v/>
      </c>
      <c r="AX5" s="78" t="str">
        <f t="array" aca="1" ref="AX5" ca="1">IF(SMALL(IF(($F5:$AC5&lt;&gt;""),COLUMN($F5:$AC5),999),COLUMN(U:U))=999,"",OFFSET($F5,0,SMALL(IF(($F5:$AC5&lt;&gt;""),COLUMN($F5:$AC5),999),COLUMN(U:U))-6))</f>
        <v/>
      </c>
      <c r="AY5" s="78" t="str">
        <f t="array" aca="1" ref="AY5" ca="1">IF(SMALL(IF(($F5:$AC5&lt;&gt;""),COLUMN($F5:$AC5),999),COLUMN(V:V))=999,"",OFFSET($F5,0,SMALL(IF(($F5:$AC5&lt;&gt;""),COLUMN($F5:$AC5),999),COLUMN(V:V))-6))</f>
        <v/>
      </c>
      <c r="AZ5" s="78" t="str">
        <f t="array" aca="1" ref="AZ5" ca="1">IF(SMALL(IF(($F5:$AC5&lt;&gt;""),COLUMN($F5:$AC5),999),COLUMN(W:W))=999,"",OFFSET($F5,0,SMALL(IF(($F5:$AC5&lt;&gt;""),COLUMN($F5:$AC5),999),COLUMN(W:W))-6))</f>
        <v/>
      </c>
      <c r="BA5" s="78" t="str">
        <f t="array" aca="1" ref="BA5" ca="1">IF(SMALL(IF(($F5:$AC5&lt;&gt;""),COLUMN($F5:$AC5),999),COLUMN(X:X))=999,"",OFFSET($F5,0,SMALL(IF(($F5:$AC5&lt;&gt;""),COLUMN($F5:$AC5),999),COLUMN(X:X))-6))</f>
        <v/>
      </c>
    </row>
    <row r="6" spans="1:53" ht="26.45" customHeight="1" x14ac:dyDescent="0.25">
      <c r="A6" s="83">
        <v>4</v>
      </c>
      <c r="B6" s="80"/>
      <c r="C6" s="86" t="str">
        <f t="array" ref="C6">IFERROR(INDEX(job_name,MATCH(B6,FMS_Job,0)),"--")</f>
        <v>--</v>
      </c>
      <c r="D6" s="86" t="str">
        <f t="array" ref="D6">IFERROR(INDEX(Lab_Reference,MATCH(B6,FMS_Job,0)),"--")</f>
        <v>--</v>
      </c>
      <c r="E6" s="102"/>
      <c r="F6" s="26" t="str">
        <f t="shared" si="0"/>
        <v/>
      </c>
      <c r="G6" s="26" t="str">
        <f t="shared" si="1"/>
        <v/>
      </c>
      <c r="H6" s="26" t="str">
        <f t="shared" si="1"/>
        <v/>
      </c>
      <c r="I6" s="26" t="str">
        <f t="shared" si="1"/>
        <v/>
      </c>
      <c r="J6" s="26" t="str">
        <f t="shared" si="1"/>
        <v/>
      </c>
      <c r="K6" s="26" t="str">
        <f t="shared" si="2"/>
        <v/>
      </c>
      <c r="L6" s="26" t="str">
        <f t="shared" si="3"/>
        <v/>
      </c>
      <c r="M6" s="26" t="str">
        <f t="shared" si="1"/>
        <v/>
      </c>
      <c r="N6" s="26" t="str">
        <f t="shared" si="1"/>
        <v/>
      </c>
      <c r="O6" s="26" t="str">
        <f t="shared" si="1"/>
        <v/>
      </c>
      <c r="P6" s="26" t="str">
        <f t="shared" si="1"/>
        <v/>
      </c>
      <c r="Q6" s="26" t="str">
        <f t="shared" si="1"/>
        <v/>
      </c>
      <c r="R6" s="26" t="str">
        <f t="shared" si="1"/>
        <v/>
      </c>
      <c r="S6" s="26" t="str">
        <f t="shared" si="1"/>
        <v/>
      </c>
      <c r="T6" s="26" t="str">
        <f t="shared" si="1"/>
        <v/>
      </c>
      <c r="U6" s="26" t="str">
        <f t="shared" si="1"/>
        <v/>
      </c>
      <c r="V6" s="26" t="str">
        <f t="shared" si="1"/>
        <v/>
      </c>
      <c r="W6" s="26" t="str">
        <f t="shared" si="1"/>
        <v/>
      </c>
      <c r="X6" s="26" t="str">
        <f t="shared" si="1"/>
        <v/>
      </c>
      <c r="Y6" s="26" t="str">
        <f t="shared" si="1"/>
        <v/>
      </c>
      <c r="Z6" s="26" t="str">
        <f t="shared" si="1"/>
        <v/>
      </c>
      <c r="AA6" s="26" t="str">
        <f t="shared" si="1"/>
        <v/>
      </c>
      <c r="AB6" s="26" t="str">
        <f t="shared" si="4"/>
        <v/>
      </c>
      <c r="AC6" s="26" t="str">
        <f t="shared" si="1"/>
        <v/>
      </c>
      <c r="AD6" s="78" t="str">
        <f t="array" aca="1" ref="AD6" ca="1">IF(SMALL(IF(($F6:$AC6&lt;&gt;""),COLUMN($F6:$AC6),999),COLUMN(A:A))=999,"",OFFSET($F6,0,SMALL(IF(($F6:$AC6&lt;&gt;""),COLUMN($F6:$AC6),999),COLUMN(A:A))-6))</f>
        <v/>
      </c>
      <c r="AE6" s="78" t="str">
        <f t="array" aca="1" ref="AE6" ca="1">IF(SMALL(IF(($F6:$AC6&lt;&gt;""),COLUMN($F6:$AC6),999),COLUMN(B:B))=999,"",OFFSET($F6,0,SMALL(IF(($F6:$AC6&lt;&gt;""),COLUMN($F6:$AC6),999),COLUMN(B:B))-6))</f>
        <v/>
      </c>
      <c r="AF6" s="78" t="str">
        <f t="array" aca="1" ref="AF6" ca="1">IF(SMALL(IF(($F6:$AC6&lt;&gt;""),COLUMN($F6:$AC6),999),COLUMN(C:C))=999,"",OFFSET($F6,0,SMALL(IF(($F6:$AC6&lt;&gt;""),COLUMN($F6:$AC6),999),COLUMN(C:C))-6))</f>
        <v/>
      </c>
      <c r="AG6" s="78" t="str">
        <f t="array" aca="1" ref="AG6" ca="1">IF(SMALL(IF(($F6:$AC6&lt;&gt;""),COLUMN($F6:$AC6),999),COLUMN(D:D))=999,"",OFFSET($F6,0,SMALL(IF(($F6:$AC6&lt;&gt;""),COLUMN($F6:$AC6),999),COLUMN(D:D))-6))</f>
        <v/>
      </c>
      <c r="AH6" s="78" t="str">
        <f t="array" aca="1" ref="AH6" ca="1">IF(SMALL(IF(($F6:$AC6&lt;&gt;""),COLUMN($F6:$AC6),999),COLUMN(E:E))=999,"",OFFSET($F6,0,SMALL(IF(($F6:$AC6&lt;&gt;""),COLUMN($F6:$AC6),999),COLUMN(E:E))-6))</f>
        <v/>
      </c>
      <c r="AI6" s="78" t="str">
        <f t="array" aca="1" ref="AI6" ca="1">IF(SMALL(IF(($F6:$AC6&lt;&gt;""),COLUMN($F6:$AC6),999),COLUMN(F:F))=999,"",OFFSET($F6,0,SMALL(IF(($F6:$AC6&lt;&gt;""),COLUMN($F6:$AC6),999),COLUMN(F:F))-6))</f>
        <v/>
      </c>
      <c r="AJ6" s="78" t="str">
        <f t="array" aca="1" ref="AJ6" ca="1">IF(SMALL(IF(($F6:$AC6&lt;&gt;""),COLUMN($F6:$AC6),999),COLUMN(G:G))=999,"",OFFSET($F6,0,SMALL(IF(($F6:$AC6&lt;&gt;""),COLUMN($F6:$AC6),999),COLUMN(G:G))-6))</f>
        <v/>
      </c>
      <c r="AK6" s="78" t="str">
        <f t="array" aca="1" ref="AK6" ca="1">IF(SMALL(IF(($F6:$AC6&lt;&gt;""),COLUMN($F6:$AC6),999),COLUMN(H:H))=999,"",OFFSET($F6,0,SMALL(IF(($F6:$AC6&lt;&gt;""),COLUMN($F6:$AC6),999),COLUMN(H:H))-6))</f>
        <v/>
      </c>
      <c r="AL6" s="78" t="str">
        <f t="array" aca="1" ref="AL6" ca="1">IF(SMALL(IF(($F6:$AC6&lt;&gt;""),COLUMN($F6:$AC6),999),COLUMN(I:I))=999,"",OFFSET($F6,0,SMALL(IF(($F6:$AC6&lt;&gt;""),COLUMN($F6:$AC6),999),COLUMN(I:I))-6))</f>
        <v/>
      </c>
      <c r="AM6" s="78" t="str">
        <f t="array" aca="1" ref="AM6" ca="1">IF(SMALL(IF(($F6:$AC6&lt;&gt;""),COLUMN($F6:$AC6),999),COLUMN(J:J))=999,"",OFFSET($F6,0,SMALL(IF(($F6:$AC6&lt;&gt;""),COLUMN($F6:$AC6),999),COLUMN(J:J))-6))</f>
        <v/>
      </c>
      <c r="AN6" s="78" t="str">
        <f t="array" aca="1" ref="AN6" ca="1">IF(SMALL(IF(($F6:$AC6&lt;&gt;""),COLUMN($F6:$AC6),999),COLUMN(K:K))=999,"",OFFSET($F6,0,SMALL(IF(($F6:$AC6&lt;&gt;""),COLUMN($F6:$AC6),999),COLUMN(K:K))-6))</f>
        <v/>
      </c>
      <c r="AO6" s="78" t="str">
        <f t="array" aca="1" ref="AO6" ca="1">IF(SMALL(IF(($F6:$AC6&lt;&gt;""),COLUMN($F6:$AC6),999),COLUMN(L:L))=999,"",OFFSET($F6,0,SMALL(IF(($F6:$AC6&lt;&gt;""),COLUMN($F6:$AC6),999),COLUMN(L:L))-6))</f>
        <v/>
      </c>
      <c r="AP6" s="78" t="str">
        <f t="array" aca="1" ref="AP6" ca="1">IF(SMALL(IF(($F6:$AC6&lt;&gt;""),COLUMN($F6:$AC6),999),COLUMN(M:M))=999,"",OFFSET($F6,0,SMALL(IF(($F6:$AC6&lt;&gt;""),COLUMN($F6:$AC6),999),COLUMN(M:M))-6))</f>
        <v/>
      </c>
      <c r="AQ6" s="78" t="str">
        <f t="array" aca="1" ref="AQ6" ca="1">IF(SMALL(IF(($F6:$AC6&lt;&gt;""),COLUMN($F6:$AC6),999),COLUMN(N:N))=999,"",OFFSET($F6,0,SMALL(IF(($F6:$AC6&lt;&gt;""),COLUMN($F6:$AC6),999),COLUMN(N:N))-6))</f>
        <v/>
      </c>
      <c r="AR6" s="78" t="str">
        <f t="array" aca="1" ref="AR6" ca="1">IF(SMALL(IF(($F6:$AC6&lt;&gt;""),COLUMN($F6:$AC6),999),COLUMN(O:O))=999,"",OFFSET($F6,0,SMALL(IF(($F6:$AC6&lt;&gt;""),COLUMN($F6:$AC6),999),COLUMN(O:O))-6))</f>
        <v/>
      </c>
      <c r="AS6" s="78" t="str">
        <f t="array" aca="1" ref="AS6" ca="1">IF(SMALL(IF(($F6:$AC6&lt;&gt;""),COLUMN($F6:$AC6),999),COLUMN(P:P))=999,"",OFFSET($F6,0,SMALL(IF(($F6:$AC6&lt;&gt;""),COLUMN($F6:$AC6),999),COLUMN(P:P))-6))</f>
        <v/>
      </c>
      <c r="AT6" s="78" t="str">
        <f t="array" aca="1" ref="AT6" ca="1">IF(SMALL(IF(($F6:$AC6&lt;&gt;""),COLUMN($F6:$AC6),999),COLUMN(Q:Q))=999,"",OFFSET($F6,0,SMALL(IF(($F6:$AC6&lt;&gt;""),COLUMN($F6:$AC6),999),COLUMN(Q:Q))-6))</f>
        <v/>
      </c>
      <c r="AU6" s="78" t="str">
        <f t="array" aca="1" ref="AU6" ca="1">IF(SMALL(IF(($F6:$AC6&lt;&gt;""),COLUMN($F6:$AC6),999),COLUMN(R:R))=999,"",OFFSET($F6,0,SMALL(IF(($F6:$AC6&lt;&gt;""),COLUMN($F6:$AC6),999),COLUMN(R:R))-6))</f>
        <v/>
      </c>
      <c r="AV6" s="78" t="str">
        <f t="array" aca="1" ref="AV6" ca="1">IF(SMALL(IF(($F6:$AC6&lt;&gt;""),COLUMN($F6:$AC6),999),COLUMN(S:S))=999,"",OFFSET($F6,0,SMALL(IF(($F6:$AC6&lt;&gt;""),COLUMN($F6:$AC6),999),COLUMN(S:S))-6))</f>
        <v/>
      </c>
      <c r="AW6" s="78" t="str">
        <f t="array" aca="1" ref="AW6" ca="1">IF(SMALL(IF(($F6:$AC6&lt;&gt;""),COLUMN($F6:$AC6),999),COLUMN(T:T))=999,"",OFFSET($F6,0,SMALL(IF(($F6:$AC6&lt;&gt;""),COLUMN($F6:$AC6),999),COLUMN(T:T))-6))</f>
        <v/>
      </c>
      <c r="AX6" s="78" t="str">
        <f t="array" aca="1" ref="AX6" ca="1">IF(SMALL(IF(($F6:$AC6&lt;&gt;""),COLUMN($F6:$AC6),999),COLUMN(U:U))=999,"",OFFSET($F6,0,SMALL(IF(($F6:$AC6&lt;&gt;""),COLUMN($F6:$AC6),999),COLUMN(U:U))-6))</f>
        <v/>
      </c>
      <c r="AY6" s="78" t="str">
        <f t="array" aca="1" ref="AY6" ca="1">IF(SMALL(IF(($F6:$AC6&lt;&gt;""),COLUMN($F6:$AC6),999),COLUMN(V:V))=999,"",OFFSET($F6,0,SMALL(IF(($F6:$AC6&lt;&gt;""),COLUMN($F6:$AC6),999),COLUMN(V:V))-6))</f>
        <v/>
      </c>
      <c r="AZ6" s="78" t="str">
        <f t="array" aca="1" ref="AZ6" ca="1">IF(SMALL(IF(($F6:$AC6&lt;&gt;""),COLUMN($F6:$AC6),999),COLUMN(W:W))=999,"",OFFSET($F6,0,SMALL(IF(($F6:$AC6&lt;&gt;""),COLUMN($F6:$AC6),999),COLUMN(W:W))-6))</f>
        <v/>
      </c>
      <c r="BA6" s="78" t="str">
        <f t="array" aca="1" ref="BA6" ca="1">IF(SMALL(IF(($F6:$AC6&lt;&gt;""),COLUMN($F6:$AC6),999),COLUMN(X:X))=999,"",OFFSET($F6,0,SMALL(IF(($F6:$AC6&lt;&gt;""),COLUMN($F6:$AC6),999),COLUMN(X:X))-6))</f>
        <v/>
      </c>
    </row>
    <row r="7" spans="1:53" ht="26.45" customHeight="1" x14ac:dyDescent="0.25">
      <c r="A7" s="83">
        <v>5</v>
      </c>
      <c r="B7" s="80"/>
      <c r="C7" s="86" t="str">
        <f t="array" ref="C7">IFERROR(INDEX(job_name,MATCH(B7,FMS_Job,0)),"--")</f>
        <v>--</v>
      </c>
      <c r="D7" s="86" t="str">
        <f t="array" ref="D7">IFERROR(INDEX(Lab_Reference,MATCH(B7,FMS_Job,0)),"--")</f>
        <v>--</v>
      </c>
      <c r="E7" s="291"/>
      <c r="F7" s="26" t="str">
        <f t="shared" si="0"/>
        <v/>
      </c>
      <c r="G7" s="26" t="str">
        <f t="shared" si="1"/>
        <v/>
      </c>
      <c r="H7" s="26" t="str">
        <f t="shared" si="1"/>
        <v/>
      </c>
      <c r="I7" s="26" t="str">
        <f t="shared" si="1"/>
        <v/>
      </c>
      <c r="J7" s="26" t="str">
        <f t="shared" si="1"/>
        <v/>
      </c>
      <c r="K7" s="26" t="str">
        <f t="shared" si="2"/>
        <v/>
      </c>
      <c r="L7" s="26" t="str">
        <f t="shared" si="3"/>
        <v/>
      </c>
      <c r="M7" s="26" t="str">
        <f t="shared" si="1"/>
        <v/>
      </c>
      <c r="N7" s="26" t="str">
        <f t="shared" si="1"/>
        <v/>
      </c>
      <c r="O7" s="26" t="str">
        <f t="shared" si="1"/>
        <v/>
      </c>
      <c r="P7" s="26" t="str">
        <f t="shared" si="1"/>
        <v/>
      </c>
      <c r="Q7" s="26" t="str">
        <f t="shared" si="1"/>
        <v/>
      </c>
      <c r="R7" s="26" t="str">
        <f t="shared" si="1"/>
        <v/>
      </c>
      <c r="S7" s="26" t="str">
        <f t="shared" si="1"/>
        <v/>
      </c>
      <c r="T7" s="26" t="str">
        <f t="shared" si="1"/>
        <v/>
      </c>
      <c r="U7" s="26" t="str">
        <f t="shared" si="1"/>
        <v/>
      </c>
      <c r="V7" s="26" t="str">
        <f t="shared" si="1"/>
        <v/>
      </c>
      <c r="W7" s="26" t="str">
        <f t="shared" si="1"/>
        <v/>
      </c>
      <c r="X7" s="26" t="str">
        <f t="shared" si="1"/>
        <v/>
      </c>
      <c r="Y7" s="26" t="str">
        <f t="shared" si="1"/>
        <v/>
      </c>
      <c r="Z7" s="26" t="str">
        <f t="shared" si="1"/>
        <v/>
      </c>
      <c r="AA7" s="26" t="str">
        <f t="shared" si="1"/>
        <v/>
      </c>
      <c r="AB7" s="26" t="str">
        <f t="shared" si="4"/>
        <v/>
      </c>
      <c r="AC7" s="26" t="str">
        <f t="shared" si="1"/>
        <v/>
      </c>
      <c r="AD7" s="78" t="str">
        <f t="array" aca="1" ref="AD7" ca="1">IF(SMALL(IF(($F7:$AC7&lt;&gt;""),COLUMN($F7:$AC7),999),COLUMN(A:A))=999,"",OFFSET($F7,0,SMALL(IF(($F7:$AC7&lt;&gt;""),COLUMN($F7:$AC7),999),COLUMN(A:A))-6))</f>
        <v/>
      </c>
      <c r="AE7" s="78" t="str">
        <f t="array" aca="1" ref="AE7" ca="1">IF(SMALL(IF(($F7:$AC7&lt;&gt;""),COLUMN($F7:$AC7),999),COLUMN(B:B))=999,"",OFFSET($F7,0,SMALL(IF(($F7:$AC7&lt;&gt;""),COLUMN($F7:$AC7),999),COLUMN(B:B))-6))</f>
        <v/>
      </c>
      <c r="AF7" s="78" t="str">
        <f t="array" aca="1" ref="AF7" ca="1">IF(SMALL(IF(($F7:$AC7&lt;&gt;""),COLUMN($F7:$AC7),999),COLUMN(C:C))=999,"",OFFSET($F7,0,SMALL(IF(($F7:$AC7&lt;&gt;""),COLUMN($F7:$AC7),999),COLUMN(C:C))-6))</f>
        <v/>
      </c>
      <c r="AG7" s="78" t="str">
        <f t="array" aca="1" ref="AG7" ca="1">IF(SMALL(IF(($F7:$AC7&lt;&gt;""),COLUMN($F7:$AC7),999),COLUMN(D:D))=999,"",OFFSET($F7,0,SMALL(IF(($F7:$AC7&lt;&gt;""),COLUMN($F7:$AC7),999),COLUMN(D:D))-6))</f>
        <v/>
      </c>
      <c r="AH7" s="78" t="str">
        <f t="array" aca="1" ref="AH7" ca="1">IF(SMALL(IF(($F7:$AC7&lt;&gt;""),COLUMN($F7:$AC7),999),COLUMN(E:E))=999,"",OFFSET($F7,0,SMALL(IF(($F7:$AC7&lt;&gt;""),COLUMN($F7:$AC7),999),COLUMN(E:E))-6))</f>
        <v/>
      </c>
      <c r="AI7" s="78" t="str">
        <f t="array" aca="1" ref="AI7" ca="1">IF(SMALL(IF(($F7:$AC7&lt;&gt;""),COLUMN($F7:$AC7),999),COLUMN(F:F))=999,"",OFFSET($F7,0,SMALL(IF(($F7:$AC7&lt;&gt;""),COLUMN($F7:$AC7),999),COLUMN(F:F))-6))</f>
        <v/>
      </c>
      <c r="AJ7" s="78" t="str">
        <f t="array" aca="1" ref="AJ7" ca="1">IF(SMALL(IF(($F7:$AC7&lt;&gt;""),COLUMN($F7:$AC7),999),COLUMN(G:G))=999,"",OFFSET($F7,0,SMALL(IF(($F7:$AC7&lt;&gt;""),COLUMN($F7:$AC7),999),COLUMN(G:G))-6))</f>
        <v/>
      </c>
      <c r="AK7" s="78" t="str">
        <f t="array" aca="1" ref="AK7" ca="1">IF(SMALL(IF(($F7:$AC7&lt;&gt;""),COLUMN($F7:$AC7),999),COLUMN(H:H))=999,"",OFFSET($F7,0,SMALL(IF(($F7:$AC7&lt;&gt;""),COLUMN($F7:$AC7),999),COLUMN(H:H))-6))</f>
        <v/>
      </c>
      <c r="AL7" s="78" t="str">
        <f t="array" aca="1" ref="AL7" ca="1">IF(SMALL(IF(($F7:$AC7&lt;&gt;""),COLUMN($F7:$AC7),999),COLUMN(I:I))=999,"",OFFSET($F7,0,SMALL(IF(($F7:$AC7&lt;&gt;""),COLUMN($F7:$AC7),999),COLUMN(I:I))-6))</f>
        <v/>
      </c>
      <c r="AM7" s="78" t="str">
        <f t="array" aca="1" ref="AM7" ca="1">IF(SMALL(IF(($F7:$AC7&lt;&gt;""),COLUMN($F7:$AC7),999),COLUMN(J:J))=999,"",OFFSET($F7,0,SMALL(IF(($F7:$AC7&lt;&gt;""),COLUMN($F7:$AC7),999),COLUMN(J:J))-6))</f>
        <v/>
      </c>
      <c r="AN7" s="78" t="str">
        <f t="array" aca="1" ref="AN7" ca="1">IF(SMALL(IF(($F7:$AC7&lt;&gt;""),COLUMN($F7:$AC7),999),COLUMN(K:K))=999,"",OFFSET($F7,0,SMALL(IF(($F7:$AC7&lt;&gt;""),COLUMN($F7:$AC7),999),COLUMN(K:K))-6))</f>
        <v/>
      </c>
      <c r="AO7" s="78" t="str">
        <f t="array" aca="1" ref="AO7" ca="1">IF(SMALL(IF(($F7:$AC7&lt;&gt;""),COLUMN($F7:$AC7),999),COLUMN(L:L))=999,"",OFFSET($F7,0,SMALL(IF(($F7:$AC7&lt;&gt;""),COLUMN($F7:$AC7),999),COLUMN(L:L))-6))</f>
        <v/>
      </c>
      <c r="AP7" s="78" t="str">
        <f t="array" aca="1" ref="AP7" ca="1">IF(SMALL(IF(($F7:$AC7&lt;&gt;""),COLUMN($F7:$AC7),999),COLUMN(M:M))=999,"",OFFSET($F7,0,SMALL(IF(($F7:$AC7&lt;&gt;""),COLUMN($F7:$AC7),999),COLUMN(M:M))-6))</f>
        <v/>
      </c>
      <c r="AQ7" s="78" t="str">
        <f t="array" aca="1" ref="AQ7" ca="1">IF(SMALL(IF(($F7:$AC7&lt;&gt;""),COLUMN($F7:$AC7),999),COLUMN(N:N))=999,"",OFFSET($F7,0,SMALL(IF(($F7:$AC7&lt;&gt;""),COLUMN($F7:$AC7),999),COLUMN(N:N))-6))</f>
        <v/>
      </c>
      <c r="AR7" s="78" t="str">
        <f t="array" aca="1" ref="AR7" ca="1">IF(SMALL(IF(($F7:$AC7&lt;&gt;""),COLUMN($F7:$AC7),999),COLUMN(O:O))=999,"",OFFSET($F7,0,SMALL(IF(($F7:$AC7&lt;&gt;""),COLUMN($F7:$AC7),999),COLUMN(O:O))-6))</f>
        <v/>
      </c>
      <c r="AS7" s="78" t="str">
        <f t="array" aca="1" ref="AS7" ca="1">IF(SMALL(IF(($F7:$AC7&lt;&gt;""),COLUMN($F7:$AC7),999),COLUMN(P:P))=999,"",OFFSET($F7,0,SMALL(IF(($F7:$AC7&lt;&gt;""),COLUMN($F7:$AC7),999),COLUMN(P:P))-6))</f>
        <v/>
      </c>
      <c r="AT7" s="78" t="str">
        <f t="array" aca="1" ref="AT7" ca="1">IF(SMALL(IF(($F7:$AC7&lt;&gt;""),COLUMN($F7:$AC7),999),COLUMN(Q:Q))=999,"",OFFSET($F7,0,SMALL(IF(($F7:$AC7&lt;&gt;""),COLUMN($F7:$AC7),999),COLUMN(Q:Q))-6))</f>
        <v/>
      </c>
      <c r="AU7" s="78" t="str">
        <f t="array" aca="1" ref="AU7" ca="1">IF(SMALL(IF(($F7:$AC7&lt;&gt;""),COLUMN($F7:$AC7),999),COLUMN(R:R))=999,"",OFFSET($F7,0,SMALL(IF(($F7:$AC7&lt;&gt;""),COLUMN($F7:$AC7),999),COLUMN(R:R))-6))</f>
        <v/>
      </c>
      <c r="AV7" s="78" t="str">
        <f t="array" aca="1" ref="AV7" ca="1">IF(SMALL(IF(($F7:$AC7&lt;&gt;""),COLUMN($F7:$AC7),999),COLUMN(S:S))=999,"",OFFSET($F7,0,SMALL(IF(($F7:$AC7&lt;&gt;""),COLUMN($F7:$AC7),999),COLUMN(S:S))-6))</f>
        <v/>
      </c>
      <c r="AW7" s="78" t="str">
        <f t="array" aca="1" ref="AW7" ca="1">IF(SMALL(IF(($F7:$AC7&lt;&gt;""),COLUMN($F7:$AC7),999),COLUMN(T:T))=999,"",OFFSET($F7,0,SMALL(IF(($F7:$AC7&lt;&gt;""),COLUMN($F7:$AC7),999),COLUMN(T:T))-6))</f>
        <v/>
      </c>
      <c r="AX7" s="78" t="str">
        <f t="array" aca="1" ref="AX7" ca="1">IF(SMALL(IF(($F7:$AC7&lt;&gt;""),COLUMN($F7:$AC7),999),COLUMN(U:U))=999,"",OFFSET($F7,0,SMALL(IF(($F7:$AC7&lt;&gt;""),COLUMN($F7:$AC7),999),COLUMN(U:U))-6))</f>
        <v/>
      </c>
      <c r="AY7" s="78" t="str">
        <f t="array" aca="1" ref="AY7" ca="1">IF(SMALL(IF(($F7:$AC7&lt;&gt;""),COLUMN($F7:$AC7),999),COLUMN(V:V))=999,"",OFFSET($F7,0,SMALL(IF(($F7:$AC7&lt;&gt;""),COLUMN($F7:$AC7),999),COLUMN(V:V))-6))</f>
        <v/>
      </c>
      <c r="AZ7" s="78" t="str">
        <f t="array" aca="1" ref="AZ7" ca="1">IF(SMALL(IF(($F7:$AC7&lt;&gt;""),COLUMN($F7:$AC7),999),COLUMN(W:W))=999,"",OFFSET($F7,0,SMALL(IF(($F7:$AC7&lt;&gt;""),COLUMN($F7:$AC7),999),COLUMN(W:W))-6))</f>
        <v/>
      </c>
      <c r="BA7" s="78" t="str">
        <f t="array" aca="1" ref="BA7" ca="1">IF(SMALL(IF(($F7:$AC7&lt;&gt;""),COLUMN($F7:$AC7),999),COLUMN(X:X))=999,"",OFFSET($F7,0,SMALL(IF(($F7:$AC7&lt;&gt;""),COLUMN($F7:$AC7),999),COLUMN(X:X))-6))</f>
        <v/>
      </c>
    </row>
    <row r="8" spans="1:53" ht="26.45" customHeight="1" x14ac:dyDescent="0.25">
      <c r="A8" s="83">
        <v>6</v>
      </c>
      <c r="B8" s="80"/>
      <c r="C8" s="86" t="str">
        <f t="array" ref="C8">IFERROR(INDEX(job_name,MATCH(B8,FMS_Job,0)),"--")</f>
        <v>--</v>
      </c>
      <c r="D8" s="86" t="str">
        <f t="array" ref="D8">IFERROR(INDEX(Lab_Reference,MATCH(B8,FMS_Job,0)),"--")</f>
        <v>--</v>
      </c>
      <c r="E8" s="291"/>
      <c r="F8" s="26" t="str">
        <f t="shared" si="0"/>
        <v/>
      </c>
      <c r="G8" s="26" t="str">
        <f t="shared" si="1"/>
        <v/>
      </c>
      <c r="H8" s="26" t="str">
        <f t="shared" si="1"/>
        <v/>
      </c>
      <c r="I8" s="26" t="str">
        <f t="shared" si="1"/>
        <v/>
      </c>
      <c r="J8" s="26" t="str">
        <f t="shared" si="1"/>
        <v/>
      </c>
      <c r="K8" s="26" t="str">
        <f t="shared" si="2"/>
        <v/>
      </c>
      <c r="L8" s="26" t="str">
        <f t="shared" si="3"/>
        <v/>
      </c>
      <c r="M8" s="26" t="str">
        <f t="shared" si="1"/>
        <v/>
      </c>
      <c r="N8" s="26" t="str">
        <f t="shared" si="1"/>
        <v/>
      </c>
      <c r="O8" s="26" t="str">
        <f t="shared" si="1"/>
        <v/>
      </c>
      <c r="P8" s="26" t="str">
        <f t="shared" si="1"/>
        <v/>
      </c>
      <c r="Q8" s="26" t="str">
        <f t="shared" si="1"/>
        <v/>
      </c>
      <c r="R8" s="26" t="str">
        <f t="shared" si="1"/>
        <v/>
      </c>
      <c r="S8" s="26" t="str">
        <f t="shared" si="1"/>
        <v/>
      </c>
      <c r="T8" s="26" t="str">
        <f t="shared" si="1"/>
        <v/>
      </c>
      <c r="U8" s="26" t="str">
        <f t="shared" si="1"/>
        <v/>
      </c>
      <c r="V8" s="26" t="str">
        <f t="shared" si="1"/>
        <v/>
      </c>
      <c r="W8" s="26" t="str">
        <f t="shared" si="1"/>
        <v/>
      </c>
      <c r="X8" s="26" t="str">
        <f t="shared" si="1"/>
        <v/>
      </c>
      <c r="Y8" s="26" t="str">
        <f t="shared" si="1"/>
        <v/>
      </c>
      <c r="Z8" s="26" t="str">
        <f t="shared" si="1"/>
        <v/>
      </c>
      <c r="AA8" s="26" t="str">
        <f t="shared" si="1"/>
        <v/>
      </c>
      <c r="AB8" s="26" t="str">
        <f t="shared" si="4"/>
        <v/>
      </c>
      <c r="AC8" s="26" t="str">
        <f t="shared" si="1"/>
        <v/>
      </c>
      <c r="AD8" s="78" t="str">
        <f t="array" aca="1" ref="AD8" ca="1">IF(SMALL(IF(($F8:$AC8&lt;&gt;""),COLUMN($F8:$AC8),999),COLUMN(A:A))=999,"",OFFSET($F8,0,SMALL(IF(($F8:$AC8&lt;&gt;""),COLUMN($F8:$AC8),999),COLUMN(A:A))-6))</f>
        <v/>
      </c>
      <c r="AE8" s="78" t="str">
        <f t="array" aca="1" ref="AE8" ca="1">IF(SMALL(IF(($F8:$AC8&lt;&gt;""),COLUMN($F8:$AC8),999),COLUMN(B:B))=999,"",OFFSET($F8,0,SMALL(IF(($F8:$AC8&lt;&gt;""),COLUMN($F8:$AC8),999),COLUMN(B:B))-6))</f>
        <v/>
      </c>
      <c r="AF8" s="78" t="str">
        <f t="array" aca="1" ref="AF8" ca="1">IF(SMALL(IF(($F8:$AC8&lt;&gt;""),COLUMN($F8:$AC8),999),COLUMN(C:C))=999,"",OFFSET($F8,0,SMALL(IF(($F8:$AC8&lt;&gt;""),COLUMN($F8:$AC8),999),COLUMN(C:C))-6))</f>
        <v/>
      </c>
      <c r="AG8" s="78" t="str">
        <f t="array" aca="1" ref="AG8" ca="1">IF(SMALL(IF(($F8:$AC8&lt;&gt;""),COLUMN($F8:$AC8),999),COLUMN(D:D))=999,"",OFFSET($F8,0,SMALL(IF(($F8:$AC8&lt;&gt;""),COLUMN($F8:$AC8),999),COLUMN(D:D))-6))</f>
        <v/>
      </c>
      <c r="AH8" s="78" t="str">
        <f t="array" aca="1" ref="AH8" ca="1">IF(SMALL(IF(($F8:$AC8&lt;&gt;""),COLUMN($F8:$AC8),999),COLUMN(E:E))=999,"",OFFSET($F8,0,SMALL(IF(($F8:$AC8&lt;&gt;""),COLUMN($F8:$AC8),999),COLUMN(E:E))-6))</f>
        <v/>
      </c>
      <c r="AI8" s="78" t="str">
        <f t="array" aca="1" ref="AI8" ca="1">IF(SMALL(IF(($F8:$AC8&lt;&gt;""),COLUMN($F8:$AC8),999),COLUMN(F:F))=999,"",OFFSET($F8,0,SMALL(IF(($F8:$AC8&lt;&gt;""),COLUMN($F8:$AC8),999),COLUMN(F:F))-6))</f>
        <v/>
      </c>
      <c r="AJ8" s="78" t="str">
        <f t="array" aca="1" ref="AJ8" ca="1">IF(SMALL(IF(($F8:$AC8&lt;&gt;""),COLUMN($F8:$AC8),999),COLUMN(G:G))=999,"",OFFSET($F8,0,SMALL(IF(($F8:$AC8&lt;&gt;""),COLUMN($F8:$AC8),999),COLUMN(G:G))-6))</f>
        <v/>
      </c>
      <c r="AK8" s="78" t="str">
        <f t="array" aca="1" ref="AK8" ca="1">IF(SMALL(IF(($F8:$AC8&lt;&gt;""),COLUMN($F8:$AC8),999),COLUMN(H:H))=999,"",OFFSET($F8,0,SMALL(IF(($F8:$AC8&lt;&gt;""),COLUMN($F8:$AC8),999),COLUMN(H:H))-6))</f>
        <v/>
      </c>
      <c r="AL8" s="78" t="str">
        <f t="array" aca="1" ref="AL8" ca="1">IF(SMALL(IF(($F8:$AC8&lt;&gt;""),COLUMN($F8:$AC8),999),COLUMN(I:I))=999,"",OFFSET($F8,0,SMALL(IF(($F8:$AC8&lt;&gt;""),COLUMN($F8:$AC8),999),COLUMN(I:I))-6))</f>
        <v/>
      </c>
      <c r="AM8" s="78" t="str">
        <f t="array" aca="1" ref="AM8" ca="1">IF(SMALL(IF(($F8:$AC8&lt;&gt;""),COLUMN($F8:$AC8),999),COLUMN(J:J))=999,"",OFFSET($F8,0,SMALL(IF(($F8:$AC8&lt;&gt;""),COLUMN($F8:$AC8),999),COLUMN(J:J))-6))</f>
        <v/>
      </c>
      <c r="AN8" s="78" t="str">
        <f t="array" aca="1" ref="AN8" ca="1">IF(SMALL(IF(($F8:$AC8&lt;&gt;""),COLUMN($F8:$AC8),999),COLUMN(K:K))=999,"",OFFSET($F8,0,SMALL(IF(($F8:$AC8&lt;&gt;""),COLUMN($F8:$AC8),999),COLUMN(K:K))-6))</f>
        <v/>
      </c>
      <c r="AO8" s="78" t="str">
        <f t="array" aca="1" ref="AO8" ca="1">IF(SMALL(IF(($F8:$AC8&lt;&gt;""),COLUMN($F8:$AC8),999),COLUMN(L:L))=999,"",OFFSET($F8,0,SMALL(IF(($F8:$AC8&lt;&gt;""),COLUMN($F8:$AC8),999),COLUMN(L:L))-6))</f>
        <v/>
      </c>
      <c r="AP8" s="78" t="str">
        <f t="array" aca="1" ref="AP8" ca="1">IF(SMALL(IF(($F8:$AC8&lt;&gt;""),COLUMN($F8:$AC8),999),COLUMN(M:M))=999,"",OFFSET($F8,0,SMALL(IF(($F8:$AC8&lt;&gt;""),COLUMN($F8:$AC8),999),COLUMN(M:M))-6))</f>
        <v/>
      </c>
      <c r="AQ8" s="78" t="str">
        <f t="array" aca="1" ref="AQ8" ca="1">IF(SMALL(IF(($F8:$AC8&lt;&gt;""),COLUMN($F8:$AC8),999),COLUMN(N:N))=999,"",OFFSET($F8,0,SMALL(IF(($F8:$AC8&lt;&gt;""),COLUMN($F8:$AC8),999),COLUMN(N:N))-6))</f>
        <v/>
      </c>
      <c r="AR8" s="78" t="str">
        <f t="array" aca="1" ref="AR8" ca="1">IF(SMALL(IF(($F8:$AC8&lt;&gt;""),COLUMN($F8:$AC8),999),COLUMN(O:O))=999,"",OFFSET($F8,0,SMALL(IF(($F8:$AC8&lt;&gt;""),COLUMN($F8:$AC8),999),COLUMN(O:O))-6))</f>
        <v/>
      </c>
      <c r="AS8" s="78" t="str">
        <f t="array" aca="1" ref="AS8" ca="1">IF(SMALL(IF(($F8:$AC8&lt;&gt;""),COLUMN($F8:$AC8),999),COLUMN(P:P))=999,"",OFFSET($F8,0,SMALL(IF(($F8:$AC8&lt;&gt;""),COLUMN($F8:$AC8),999),COLUMN(P:P))-6))</f>
        <v/>
      </c>
      <c r="AT8" s="78" t="str">
        <f t="array" aca="1" ref="AT8" ca="1">IF(SMALL(IF(($F8:$AC8&lt;&gt;""),COLUMN($F8:$AC8),999),COLUMN(Q:Q))=999,"",OFFSET($F8,0,SMALL(IF(($F8:$AC8&lt;&gt;""),COLUMN($F8:$AC8),999),COLUMN(Q:Q))-6))</f>
        <v/>
      </c>
      <c r="AU8" s="78" t="str">
        <f t="array" aca="1" ref="AU8" ca="1">IF(SMALL(IF(($F8:$AC8&lt;&gt;""),COLUMN($F8:$AC8),999),COLUMN(R:R))=999,"",OFFSET($F8,0,SMALL(IF(($F8:$AC8&lt;&gt;""),COLUMN($F8:$AC8),999),COLUMN(R:R))-6))</f>
        <v/>
      </c>
      <c r="AV8" s="78" t="str">
        <f t="array" aca="1" ref="AV8" ca="1">IF(SMALL(IF(($F8:$AC8&lt;&gt;""),COLUMN($F8:$AC8),999),COLUMN(S:S))=999,"",OFFSET($F8,0,SMALL(IF(($F8:$AC8&lt;&gt;""),COLUMN($F8:$AC8),999),COLUMN(S:S))-6))</f>
        <v/>
      </c>
      <c r="AW8" s="78" t="str">
        <f t="array" aca="1" ref="AW8" ca="1">IF(SMALL(IF(($F8:$AC8&lt;&gt;""),COLUMN($F8:$AC8),999),COLUMN(T:T))=999,"",OFFSET($F8,0,SMALL(IF(($F8:$AC8&lt;&gt;""),COLUMN($F8:$AC8),999),COLUMN(T:T))-6))</f>
        <v/>
      </c>
      <c r="AX8" s="78" t="str">
        <f t="array" aca="1" ref="AX8" ca="1">IF(SMALL(IF(($F8:$AC8&lt;&gt;""),COLUMN($F8:$AC8),999),COLUMN(U:U))=999,"",OFFSET($F8,0,SMALL(IF(($F8:$AC8&lt;&gt;""),COLUMN($F8:$AC8),999),COLUMN(U:U))-6))</f>
        <v/>
      </c>
      <c r="AY8" s="78" t="str">
        <f t="array" aca="1" ref="AY8" ca="1">IF(SMALL(IF(($F8:$AC8&lt;&gt;""),COLUMN($F8:$AC8),999),COLUMN(V:V))=999,"",OFFSET($F8,0,SMALL(IF(($F8:$AC8&lt;&gt;""),COLUMN($F8:$AC8),999),COLUMN(V:V))-6))</f>
        <v/>
      </c>
      <c r="AZ8" s="78" t="str">
        <f t="array" aca="1" ref="AZ8" ca="1">IF(SMALL(IF(($F8:$AC8&lt;&gt;""),COLUMN($F8:$AC8),999),COLUMN(W:W))=999,"",OFFSET($F8,0,SMALL(IF(($F8:$AC8&lt;&gt;""),COLUMN($F8:$AC8),999),COLUMN(W:W))-6))</f>
        <v/>
      </c>
      <c r="BA8" s="78" t="str">
        <f t="array" aca="1" ref="BA8" ca="1">IF(SMALL(IF(($F8:$AC8&lt;&gt;""),COLUMN($F8:$AC8),999),COLUMN(X:X))=999,"",OFFSET($F8,0,SMALL(IF(($F8:$AC8&lt;&gt;""),COLUMN($F8:$AC8),999),COLUMN(X:X))-6))</f>
        <v/>
      </c>
    </row>
    <row r="9" spans="1:53" ht="26.45" customHeight="1" x14ac:dyDescent="0.25">
      <c r="A9" s="83">
        <v>7</v>
      </c>
      <c r="B9" s="80"/>
      <c r="C9" s="86" t="str">
        <f t="array" ref="C9">IFERROR(INDEX(job_name,MATCH(B9,FMS_Job,0)),"--")</f>
        <v>--</v>
      </c>
      <c r="D9" s="86" t="str">
        <f t="array" ref="D9">IFERROR(INDEX(Lab_Reference,MATCH(B9,FMS_Job,0)),"--")</f>
        <v>--</v>
      </c>
      <c r="E9" s="102"/>
      <c r="F9" s="26" t="str">
        <f t="shared" si="0"/>
        <v/>
      </c>
      <c r="G9" s="26" t="str">
        <f t="shared" si="1"/>
        <v/>
      </c>
      <c r="H9" s="26" t="str">
        <f t="shared" si="1"/>
        <v/>
      </c>
      <c r="I9" s="26" t="str">
        <f t="shared" si="1"/>
        <v/>
      </c>
      <c r="J9" s="26" t="str">
        <f t="shared" si="1"/>
        <v/>
      </c>
      <c r="K9" s="26" t="str">
        <f t="shared" si="2"/>
        <v/>
      </c>
      <c r="L9" s="26" t="str">
        <f t="shared" si="3"/>
        <v/>
      </c>
      <c r="M9" s="26" t="str">
        <f t="shared" si="1"/>
        <v/>
      </c>
      <c r="N9" s="26" t="str">
        <f t="shared" si="1"/>
        <v/>
      </c>
      <c r="O9" s="26" t="str">
        <f t="shared" si="1"/>
        <v/>
      </c>
      <c r="P9" s="26" t="str">
        <f t="shared" si="1"/>
        <v/>
      </c>
      <c r="Q9" s="26" t="str">
        <f t="shared" si="1"/>
        <v/>
      </c>
      <c r="R9" s="26" t="str">
        <f t="shared" si="1"/>
        <v/>
      </c>
      <c r="S9" s="26" t="str">
        <f t="shared" si="1"/>
        <v/>
      </c>
      <c r="T9" s="26" t="str">
        <f t="shared" si="1"/>
        <v/>
      </c>
      <c r="U9" s="26" t="str">
        <f t="shared" si="1"/>
        <v/>
      </c>
      <c r="V9" s="26" t="str">
        <f t="shared" si="1"/>
        <v/>
      </c>
      <c r="W9" s="26" t="str">
        <f t="shared" si="1"/>
        <v/>
      </c>
      <c r="X9" s="26" t="str">
        <f t="shared" si="1"/>
        <v/>
      </c>
      <c r="Y9" s="26" t="str">
        <f t="shared" si="1"/>
        <v/>
      </c>
      <c r="Z9" s="26" t="str">
        <f t="shared" ref="Y9:Z14" si="5">IF($E9="",IF(COUNTIF($D9,Z$2),Z$1,""),IF(COUNTIF($E9,Z$2),Z$1,""))</f>
        <v/>
      </c>
      <c r="AA9" s="26" t="str">
        <f t="shared" si="1"/>
        <v/>
      </c>
      <c r="AB9" s="26" t="str">
        <f t="shared" si="4"/>
        <v/>
      </c>
      <c r="AC9" s="26" t="str">
        <f t="shared" si="1"/>
        <v/>
      </c>
      <c r="AD9" s="78" t="str">
        <f t="array" aca="1" ref="AD9" ca="1">IF(SMALL(IF(($F9:$AC9&lt;&gt;""),COLUMN($F9:$AC9),999),COLUMN(A:A))=999,"",OFFSET($F9,0,SMALL(IF(($F9:$AC9&lt;&gt;""),COLUMN($F9:$AC9),999),COLUMN(A:A))-6))</f>
        <v/>
      </c>
      <c r="AE9" s="78" t="str">
        <f t="array" aca="1" ref="AE9" ca="1">IF(SMALL(IF(($F9:$AC9&lt;&gt;""),COLUMN($F9:$AC9),999),COLUMN(B:B))=999,"",OFFSET($F9,0,SMALL(IF(($F9:$AC9&lt;&gt;""),COLUMN($F9:$AC9),999),COLUMN(B:B))-6))</f>
        <v/>
      </c>
      <c r="AF9" s="78" t="str">
        <f t="array" aca="1" ref="AF9" ca="1">IF(SMALL(IF(($F9:$AC9&lt;&gt;""),COLUMN($F9:$AC9),999),COLUMN(C:C))=999,"",OFFSET($F9,0,SMALL(IF(($F9:$AC9&lt;&gt;""),COLUMN($F9:$AC9),999),COLUMN(C:C))-6))</f>
        <v/>
      </c>
      <c r="AG9" s="78" t="str">
        <f t="array" aca="1" ref="AG9" ca="1">IF(SMALL(IF(($F9:$AC9&lt;&gt;""),COLUMN($F9:$AC9),999),COLUMN(D:D))=999,"",OFFSET($F9,0,SMALL(IF(($F9:$AC9&lt;&gt;""),COLUMN($F9:$AC9),999),COLUMN(D:D))-6))</f>
        <v/>
      </c>
      <c r="AH9" s="78" t="str">
        <f t="array" aca="1" ref="AH9" ca="1">IF(SMALL(IF(($F9:$AC9&lt;&gt;""),COLUMN($F9:$AC9),999),COLUMN(E:E))=999,"",OFFSET($F9,0,SMALL(IF(($F9:$AC9&lt;&gt;""),COLUMN($F9:$AC9),999),COLUMN(E:E))-6))</f>
        <v/>
      </c>
      <c r="AI9" s="78" t="str">
        <f t="array" aca="1" ref="AI9" ca="1">IF(SMALL(IF(($F9:$AC9&lt;&gt;""),COLUMN($F9:$AC9),999),COLUMN(F:F))=999,"",OFFSET($F9,0,SMALL(IF(($F9:$AC9&lt;&gt;""),COLUMN($F9:$AC9),999),COLUMN(F:F))-6))</f>
        <v/>
      </c>
      <c r="AJ9" s="78" t="str">
        <f t="array" aca="1" ref="AJ9" ca="1">IF(SMALL(IF(($F9:$AC9&lt;&gt;""),COLUMN($F9:$AC9),999),COLUMN(G:G))=999,"",OFFSET($F9,0,SMALL(IF(($F9:$AC9&lt;&gt;""),COLUMN($F9:$AC9),999),COLUMN(G:G))-6))</f>
        <v/>
      </c>
      <c r="AK9" s="78" t="str">
        <f t="array" aca="1" ref="AK9" ca="1">IF(SMALL(IF(($F9:$AC9&lt;&gt;""),COLUMN($F9:$AC9),999),COLUMN(H:H))=999,"",OFFSET($F9,0,SMALL(IF(($F9:$AC9&lt;&gt;""),COLUMN($F9:$AC9),999),COLUMN(H:H))-6))</f>
        <v/>
      </c>
      <c r="AL9" s="78" t="str">
        <f t="array" aca="1" ref="AL9" ca="1">IF(SMALL(IF(($F9:$AC9&lt;&gt;""),COLUMN($F9:$AC9),999),COLUMN(I:I))=999,"",OFFSET($F9,0,SMALL(IF(($F9:$AC9&lt;&gt;""),COLUMN($F9:$AC9),999),COLUMN(I:I))-6))</f>
        <v/>
      </c>
      <c r="AM9" s="78" t="str">
        <f t="array" aca="1" ref="AM9" ca="1">IF(SMALL(IF(($F9:$AC9&lt;&gt;""),COLUMN($F9:$AC9),999),COLUMN(J:J))=999,"",OFFSET($F9,0,SMALL(IF(($F9:$AC9&lt;&gt;""),COLUMN($F9:$AC9),999),COLUMN(J:J))-6))</f>
        <v/>
      </c>
      <c r="AN9" s="78" t="str">
        <f t="array" aca="1" ref="AN9" ca="1">IF(SMALL(IF(($F9:$AC9&lt;&gt;""),COLUMN($F9:$AC9),999),COLUMN(K:K))=999,"",OFFSET($F9,0,SMALL(IF(($F9:$AC9&lt;&gt;""),COLUMN($F9:$AC9),999),COLUMN(K:K))-6))</f>
        <v/>
      </c>
      <c r="AO9" s="78" t="str">
        <f t="array" aca="1" ref="AO9" ca="1">IF(SMALL(IF(($F9:$AC9&lt;&gt;""),COLUMN($F9:$AC9),999),COLUMN(L:L))=999,"",OFFSET($F9,0,SMALL(IF(($F9:$AC9&lt;&gt;""),COLUMN($F9:$AC9),999),COLUMN(L:L))-6))</f>
        <v/>
      </c>
      <c r="AP9" s="78" t="str">
        <f t="array" aca="1" ref="AP9" ca="1">IF(SMALL(IF(($F9:$AC9&lt;&gt;""),COLUMN($F9:$AC9),999),COLUMN(M:M))=999,"",OFFSET($F9,0,SMALL(IF(($F9:$AC9&lt;&gt;""),COLUMN($F9:$AC9),999),COLUMN(M:M))-6))</f>
        <v/>
      </c>
      <c r="AQ9" s="78" t="str">
        <f t="array" aca="1" ref="AQ9" ca="1">IF(SMALL(IF(($F9:$AC9&lt;&gt;""),COLUMN($F9:$AC9),999),COLUMN(N:N))=999,"",OFFSET($F9,0,SMALL(IF(($F9:$AC9&lt;&gt;""),COLUMN($F9:$AC9),999),COLUMN(N:N))-6))</f>
        <v/>
      </c>
      <c r="AR9" s="78" t="str">
        <f t="array" aca="1" ref="AR9" ca="1">IF(SMALL(IF(($F9:$AC9&lt;&gt;""),COLUMN($F9:$AC9),999),COLUMN(O:O))=999,"",OFFSET($F9,0,SMALL(IF(($F9:$AC9&lt;&gt;""),COLUMN($F9:$AC9),999),COLUMN(O:O))-6))</f>
        <v/>
      </c>
      <c r="AS9" s="78" t="str">
        <f t="array" aca="1" ref="AS9" ca="1">IF(SMALL(IF(($F9:$AC9&lt;&gt;""),COLUMN($F9:$AC9),999),COLUMN(P:P))=999,"",OFFSET($F9,0,SMALL(IF(($F9:$AC9&lt;&gt;""),COLUMN($F9:$AC9),999),COLUMN(P:P))-6))</f>
        <v/>
      </c>
      <c r="AT9" s="78" t="str">
        <f t="array" aca="1" ref="AT9" ca="1">IF(SMALL(IF(($F9:$AC9&lt;&gt;""),COLUMN($F9:$AC9),999),COLUMN(Q:Q))=999,"",OFFSET($F9,0,SMALL(IF(($F9:$AC9&lt;&gt;""),COLUMN($F9:$AC9),999),COLUMN(Q:Q))-6))</f>
        <v/>
      </c>
      <c r="AU9" s="78" t="str">
        <f t="array" aca="1" ref="AU9" ca="1">IF(SMALL(IF(($F9:$AC9&lt;&gt;""),COLUMN($F9:$AC9),999),COLUMN(R:R))=999,"",OFFSET($F9,0,SMALL(IF(($F9:$AC9&lt;&gt;""),COLUMN($F9:$AC9),999),COLUMN(R:R))-6))</f>
        <v/>
      </c>
      <c r="AV9" s="78" t="str">
        <f t="array" aca="1" ref="AV9" ca="1">IF(SMALL(IF(($F9:$AC9&lt;&gt;""),COLUMN($F9:$AC9),999),COLUMN(S:S))=999,"",OFFSET($F9,0,SMALL(IF(($F9:$AC9&lt;&gt;""),COLUMN($F9:$AC9),999),COLUMN(S:S))-6))</f>
        <v/>
      </c>
      <c r="AW9" s="78" t="str">
        <f t="array" aca="1" ref="AW9" ca="1">IF(SMALL(IF(($F9:$AC9&lt;&gt;""),COLUMN($F9:$AC9),999),COLUMN(T:T))=999,"",OFFSET($F9,0,SMALL(IF(($F9:$AC9&lt;&gt;""),COLUMN($F9:$AC9),999),COLUMN(T:T))-6))</f>
        <v/>
      </c>
      <c r="AX9" s="78" t="str">
        <f t="array" aca="1" ref="AX9" ca="1">IF(SMALL(IF(($F9:$AC9&lt;&gt;""),COLUMN($F9:$AC9),999),COLUMN(U:U))=999,"",OFFSET($F9,0,SMALL(IF(($F9:$AC9&lt;&gt;""),COLUMN($F9:$AC9),999),COLUMN(U:U))-6))</f>
        <v/>
      </c>
      <c r="AY9" s="78" t="str">
        <f t="array" aca="1" ref="AY9" ca="1">IF(SMALL(IF(($F9:$AC9&lt;&gt;""),COLUMN($F9:$AC9),999),COLUMN(V:V))=999,"",OFFSET($F9,0,SMALL(IF(($F9:$AC9&lt;&gt;""),COLUMN($F9:$AC9),999),COLUMN(V:V))-6))</f>
        <v/>
      </c>
      <c r="AZ9" s="78" t="str">
        <f t="array" aca="1" ref="AZ9" ca="1">IF(SMALL(IF(($F9:$AC9&lt;&gt;""),COLUMN($F9:$AC9),999),COLUMN(W:W))=999,"",OFFSET($F9,0,SMALL(IF(($F9:$AC9&lt;&gt;""),COLUMN($F9:$AC9),999),COLUMN(W:W))-6))</f>
        <v/>
      </c>
      <c r="BA9" s="78" t="str">
        <f t="array" aca="1" ref="BA9" ca="1">IF(SMALL(IF(($F9:$AC9&lt;&gt;""),COLUMN($F9:$AC9),999),COLUMN(X:X))=999,"",OFFSET($F9,0,SMALL(IF(($F9:$AC9&lt;&gt;""),COLUMN($F9:$AC9),999),COLUMN(X:X))-6))</f>
        <v/>
      </c>
    </row>
    <row r="10" spans="1:53" ht="26.45" customHeight="1" x14ac:dyDescent="0.25">
      <c r="A10" s="83">
        <v>8</v>
      </c>
      <c r="B10" s="80"/>
      <c r="C10" s="86" t="str">
        <f t="array" ref="C10">IFERROR(INDEX(job_name,MATCH(B10,FMS_Job,0)),"--")</f>
        <v>--</v>
      </c>
      <c r="D10" s="86" t="str">
        <f t="array" ref="D10">IFERROR(INDEX(Lab_Reference,MATCH(B10,FMS_Job,0)),"--")</f>
        <v>--</v>
      </c>
      <c r="E10" s="291"/>
      <c r="F10" s="26" t="str">
        <f t="shared" si="0"/>
        <v/>
      </c>
      <c r="G10" s="26" t="str">
        <f t="shared" si="1"/>
        <v/>
      </c>
      <c r="H10" s="26" t="str">
        <f t="shared" si="1"/>
        <v/>
      </c>
      <c r="I10" s="26" t="str">
        <f t="shared" si="1"/>
        <v/>
      </c>
      <c r="J10" s="26" t="str">
        <f t="shared" si="1"/>
        <v/>
      </c>
      <c r="K10" s="26" t="str">
        <f t="shared" si="2"/>
        <v/>
      </c>
      <c r="L10" s="26" t="str">
        <f t="shared" si="3"/>
        <v/>
      </c>
      <c r="M10" s="26" t="str">
        <f t="shared" si="1"/>
        <v/>
      </c>
      <c r="N10" s="26" t="str">
        <f t="shared" si="1"/>
        <v/>
      </c>
      <c r="O10" s="26" t="str">
        <f t="shared" si="1"/>
        <v/>
      </c>
      <c r="P10" s="26" t="str">
        <f t="shared" si="1"/>
        <v/>
      </c>
      <c r="Q10" s="26" t="str">
        <f t="shared" si="1"/>
        <v/>
      </c>
      <c r="R10" s="26" t="str">
        <f t="shared" si="1"/>
        <v/>
      </c>
      <c r="S10" s="26" t="str">
        <f t="shared" si="1"/>
        <v/>
      </c>
      <c r="T10" s="26" t="str">
        <f t="shared" si="1"/>
        <v/>
      </c>
      <c r="U10" s="26" t="str">
        <f t="shared" si="1"/>
        <v/>
      </c>
      <c r="V10" s="26" t="str">
        <f t="shared" si="1"/>
        <v/>
      </c>
      <c r="W10" s="26" t="str">
        <f t="shared" si="1"/>
        <v/>
      </c>
      <c r="X10" s="26" t="str">
        <f t="shared" si="1"/>
        <v/>
      </c>
      <c r="Y10" s="26" t="str">
        <f t="shared" si="5"/>
        <v/>
      </c>
      <c r="Z10" s="26" t="str">
        <f t="shared" si="5"/>
        <v/>
      </c>
      <c r="AA10" s="26" t="str">
        <f t="shared" si="1"/>
        <v/>
      </c>
      <c r="AB10" s="26" t="str">
        <f t="shared" si="4"/>
        <v/>
      </c>
      <c r="AC10" s="26" t="str">
        <f t="shared" si="1"/>
        <v/>
      </c>
      <c r="AD10" s="78" t="str">
        <f t="array" aca="1" ref="AD10" ca="1">IF(SMALL(IF(($F10:$AC10&lt;&gt;""),COLUMN($F10:$AC10),999),COLUMN(A:A))=999,"",OFFSET($F10,0,SMALL(IF(($F10:$AC10&lt;&gt;""),COLUMN($F10:$AC10),999),COLUMN(A:A))-6))</f>
        <v/>
      </c>
      <c r="AE10" s="78" t="str">
        <f t="array" aca="1" ref="AE10" ca="1">IF(SMALL(IF(($F10:$AC10&lt;&gt;""),COLUMN($F10:$AC10),999),COLUMN(B:B))=999,"",OFFSET($F10,0,SMALL(IF(($F10:$AC10&lt;&gt;""),COLUMN($F10:$AC10),999),COLUMN(B:B))-6))</f>
        <v/>
      </c>
      <c r="AF10" s="78" t="str">
        <f t="array" aca="1" ref="AF10" ca="1">IF(SMALL(IF(($F10:$AC10&lt;&gt;""),COLUMN($F10:$AC10),999),COLUMN(C:C))=999,"",OFFSET($F10,0,SMALL(IF(($F10:$AC10&lt;&gt;""),COLUMN($F10:$AC10),999),COLUMN(C:C))-6))</f>
        <v/>
      </c>
      <c r="AG10" s="78" t="str">
        <f t="array" aca="1" ref="AG10" ca="1">IF(SMALL(IF(($F10:$AC10&lt;&gt;""),COLUMN($F10:$AC10),999),COLUMN(D:D))=999,"",OFFSET($F10,0,SMALL(IF(($F10:$AC10&lt;&gt;""),COLUMN($F10:$AC10),999),COLUMN(D:D))-6))</f>
        <v/>
      </c>
      <c r="AH10" s="78" t="str">
        <f t="array" aca="1" ref="AH10" ca="1">IF(SMALL(IF(($F10:$AC10&lt;&gt;""),COLUMN($F10:$AC10),999),COLUMN(E:E))=999,"",OFFSET($F10,0,SMALL(IF(($F10:$AC10&lt;&gt;""),COLUMN($F10:$AC10),999),COLUMN(E:E))-6))</f>
        <v/>
      </c>
      <c r="AI10" s="78" t="str">
        <f t="array" aca="1" ref="AI10" ca="1">IF(SMALL(IF(($F10:$AC10&lt;&gt;""),COLUMN($F10:$AC10),999),COLUMN(F:F))=999,"",OFFSET($F10,0,SMALL(IF(($F10:$AC10&lt;&gt;""),COLUMN($F10:$AC10),999),COLUMN(F:F))-6))</f>
        <v/>
      </c>
      <c r="AJ10" s="78" t="str">
        <f t="array" aca="1" ref="AJ10" ca="1">IF(SMALL(IF(($F10:$AC10&lt;&gt;""),COLUMN($F10:$AC10),999),COLUMN(G:G))=999,"",OFFSET($F10,0,SMALL(IF(($F10:$AC10&lt;&gt;""),COLUMN($F10:$AC10),999),COLUMN(G:G))-6))</f>
        <v/>
      </c>
      <c r="AK10" s="78" t="str">
        <f t="array" aca="1" ref="AK10" ca="1">IF(SMALL(IF(($F10:$AC10&lt;&gt;""),COLUMN($F10:$AC10),999),COLUMN(H:H))=999,"",OFFSET($F10,0,SMALL(IF(($F10:$AC10&lt;&gt;""),COLUMN($F10:$AC10),999),COLUMN(H:H))-6))</f>
        <v/>
      </c>
      <c r="AL10" s="78" t="str">
        <f t="array" aca="1" ref="AL10" ca="1">IF(SMALL(IF(($F10:$AC10&lt;&gt;""),COLUMN($F10:$AC10),999),COLUMN(I:I))=999,"",OFFSET($F10,0,SMALL(IF(($F10:$AC10&lt;&gt;""),COLUMN($F10:$AC10),999),COLUMN(I:I))-6))</f>
        <v/>
      </c>
      <c r="AM10" s="78" t="str">
        <f t="array" aca="1" ref="AM10" ca="1">IF(SMALL(IF(($F10:$AC10&lt;&gt;""),COLUMN($F10:$AC10),999),COLUMN(J:J))=999,"",OFFSET($F10,0,SMALL(IF(($F10:$AC10&lt;&gt;""),COLUMN($F10:$AC10),999),COLUMN(J:J))-6))</f>
        <v/>
      </c>
      <c r="AN10" s="78" t="str">
        <f t="array" aca="1" ref="AN10" ca="1">IF(SMALL(IF(($F10:$AC10&lt;&gt;""),COLUMN($F10:$AC10),999),COLUMN(K:K))=999,"",OFFSET($F10,0,SMALL(IF(($F10:$AC10&lt;&gt;""),COLUMN($F10:$AC10),999),COLUMN(K:K))-6))</f>
        <v/>
      </c>
      <c r="AO10" s="78" t="str">
        <f t="array" aca="1" ref="AO10" ca="1">IF(SMALL(IF(($F10:$AC10&lt;&gt;""),COLUMN($F10:$AC10),999),COLUMN(L:L))=999,"",OFFSET($F10,0,SMALL(IF(($F10:$AC10&lt;&gt;""),COLUMN($F10:$AC10),999),COLUMN(L:L))-6))</f>
        <v/>
      </c>
      <c r="AP10" s="78" t="str">
        <f t="array" aca="1" ref="AP10" ca="1">IF(SMALL(IF(($F10:$AC10&lt;&gt;""),COLUMN($F10:$AC10),999),COLUMN(M:M))=999,"",OFFSET($F10,0,SMALL(IF(($F10:$AC10&lt;&gt;""),COLUMN($F10:$AC10),999),COLUMN(M:M))-6))</f>
        <v/>
      </c>
      <c r="AQ10" s="78" t="str">
        <f t="array" aca="1" ref="AQ10" ca="1">IF(SMALL(IF(($F10:$AC10&lt;&gt;""),COLUMN($F10:$AC10),999),COLUMN(N:N))=999,"",OFFSET($F10,0,SMALL(IF(($F10:$AC10&lt;&gt;""),COLUMN($F10:$AC10),999),COLUMN(N:N))-6))</f>
        <v/>
      </c>
      <c r="AR10" s="78" t="str">
        <f t="array" aca="1" ref="AR10" ca="1">IF(SMALL(IF(($F10:$AC10&lt;&gt;""),COLUMN($F10:$AC10),999),COLUMN(O:O))=999,"",OFFSET($F10,0,SMALL(IF(($F10:$AC10&lt;&gt;""),COLUMN($F10:$AC10),999),COLUMN(O:O))-6))</f>
        <v/>
      </c>
      <c r="AS10" s="78" t="str">
        <f t="array" aca="1" ref="AS10" ca="1">IF(SMALL(IF(($F10:$AC10&lt;&gt;""),COLUMN($F10:$AC10),999),COLUMN(P:P))=999,"",OFFSET($F10,0,SMALL(IF(($F10:$AC10&lt;&gt;""),COLUMN($F10:$AC10),999),COLUMN(P:P))-6))</f>
        <v/>
      </c>
      <c r="AT10" s="78" t="str">
        <f t="array" aca="1" ref="AT10" ca="1">IF(SMALL(IF(($F10:$AC10&lt;&gt;""),COLUMN($F10:$AC10),999),COLUMN(Q:Q))=999,"",OFFSET($F10,0,SMALL(IF(($F10:$AC10&lt;&gt;""),COLUMN($F10:$AC10),999),COLUMN(Q:Q))-6))</f>
        <v/>
      </c>
      <c r="AU10" s="78" t="str">
        <f t="array" aca="1" ref="AU10" ca="1">IF(SMALL(IF(($F10:$AC10&lt;&gt;""),COLUMN($F10:$AC10),999),COLUMN(R:R))=999,"",OFFSET($F10,0,SMALL(IF(($F10:$AC10&lt;&gt;""),COLUMN($F10:$AC10),999),COLUMN(R:R))-6))</f>
        <v/>
      </c>
      <c r="AV10" s="78" t="str">
        <f t="array" aca="1" ref="AV10" ca="1">IF(SMALL(IF(($F10:$AC10&lt;&gt;""),COLUMN($F10:$AC10),999),COLUMN(S:S))=999,"",OFFSET($F10,0,SMALL(IF(($F10:$AC10&lt;&gt;""),COLUMN($F10:$AC10),999),COLUMN(S:S))-6))</f>
        <v/>
      </c>
      <c r="AW10" s="78" t="str">
        <f t="array" aca="1" ref="AW10" ca="1">IF(SMALL(IF(($F10:$AC10&lt;&gt;""),COLUMN($F10:$AC10),999),COLUMN(T:T))=999,"",OFFSET($F10,0,SMALL(IF(($F10:$AC10&lt;&gt;""),COLUMN($F10:$AC10),999),COLUMN(T:T))-6))</f>
        <v/>
      </c>
      <c r="AX10" s="78" t="str">
        <f t="array" aca="1" ref="AX10" ca="1">IF(SMALL(IF(($F10:$AC10&lt;&gt;""),COLUMN($F10:$AC10),999),COLUMN(U:U))=999,"",OFFSET($F10,0,SMALL(IF(($F10:$AC10&lt;&gt;""),COLUMN($F10:$AC10),999),COLUMN(U:U))-6))</f>
        <v/>
      </c>
      <c r="AY10" s="78" t="str">
        <f t="array" aca="1" ref="AY10" ca="1">IF(SMALL(IF(($F10:$AC10&lt;&gt;""),COLUMN($F10:$AC10),999),COLUMN(V:V))=999,"",OFFSET($F10,0,SMALL(IF(($F10:$AC10&lt;&gt;""),COLUMN($F10:$AC10),999),COLUMN(V:V))-6))</f>
        <v/>
      </c>
      <c r="AZ10" s="78" t="str">
        <f t="array" aca="1" ref="AZ10" ca="1">IF(SMALL(IF(($F10:$AC10&lt;&gt;""),COLUMN($F10:$AC10),999),COLUMN(W:W))=999,"",OFFSET($F10,0,SMALL(IF(($F10:$AC10&lt;&gt;""),COLUMN($F10:$AC10),999),COLUMN(W:W))-6))</f>
        <v/>
      </c>
      <c r="BA10" s="78" t="str">
        <f t="array" aca="1" ref="BA10" ca="1">IF(SMALL(IF(($F10:$AC10&lt;&gt;""),COLUMN($F10:$AC10),999),COLUMN(X:X))=999,"",OFFSET($F10,0,SMALL(IF(($F10:$AC10&lt;&gt;""),COLUMN($F10:$AC10),999),COLUMN(X:X))-6))</f>
        <v/>
      </c>
    </row>
    <row r="11" spans="1:53" ht="26.45" customHeight="1" x14ac:dyDescent="0.25">
      <c r="A11" s="83">
        <v>9</v>
      </c>
      <c r="B11" s="80"/>
      <c r="C11" s="86" t="str">
        <f t="array" ref="C11">IFERROR(INDEX(job_name,MATCH(B11,FMS_Job,0)),"--")</f>
        <v>--</v>
      </c>
      <c r="D11" s="86" t="str">
        <f t="array" ref="D11">IFERROR(INDEX(Lab_Reference,MATCH(B11,FMS_Job,0)),"--")</f>
        <v>--</v>
      </c>
      <c r="E11" s="291"/>
      <c r="F11" s="26" t="str">
        <f t="shared" si="0"/>
        <v/>
      </c>
      <c r="G11" s="26" t="str">
        <f t="shared" si="1"/>
        <v/>
      </c>
      <c r="H11" s="26" t="str">
        <f t="shared" si="1"/>
        <v/>
      </c>
      <c r="I11" s="26" t="str">
        <f t="shared" si="1"/>
        <v/>
      </c>
      <c r="J11" s="26" t="str">
        <f t="shared" si="1"/>
        <v/>
      </c>
      <c r="K11" s="26" t="str">
        <f t="shared" si="2"/>
        <v/>
      </c>
      <c r="L11" s="26" t="str">
        <f t="shared" si="3"/>
        <v/>
      </c>
      <c r="M11" s="26" t="str">
        <f t="shared" si="1"/>
        <v/>
      </c>
      <c r="N11" s="26" t="str">
        <f t="shared" si="1"/>
        <v/>
      </c>
      <c r="O11" s="26" t="str">
        <f t="shared" si="1"/>
        <v/>
      </c>
      <c r="P11" s="26" t="str">
        <f t="shared" si="1"/>
        <v/>
      </c>
      <c r="Q11" s="26" t="str">
        <f t="shared" si="1"/>
        <v/>
      </c>
      <c r="R11" s="26" t="str">
        <f t="shared" si="1"/>
        <v/>
      </c>
      <c r="S11" s="26" t="str">
        <f t="shared" si="1"/>
        <v/>
      </c>
      <c r="T11" s="26" t="str">
        <f t="shared" si="1"/>
        <v/>
      </c>
      <c r="U11" s="26" t="str">
        <f t="shared" si="1"/>
        <v/>
      </c>
      <c r="V11" s="26" t="str">
        <f t="shared" si="1"/>
        <v/>
      </c>
      <c r="W11" s="26" t="str">
        <f t="shared" si="1"/>
        <v/>
      </c>
      <c r="X11" s="26" t="str">
        <f t="shared" si="1"/>
        <v/>
      </c>
      <c r="Y11" s="26" t="str">
        <f t="shared" si="5"/>
        <v/>
      </c>
      <c r="Z11" s="26" t="str">
        <f t="shared" si="5"/>
        <v/>
      </c>
      <c r="AA11" s="26" t="str">
        <f t="shared" si="1"/>
        <v/>
      </c>
      <c r="AB11" s="26" t="str">
        <f t="shared" si="4"/>
        <v/>
      </c>
      <c r="AC11" s="26" t="str">
        <f t="shared" si="1"/>
        <v/>
      </c>
      <c r="AD11" s="78" t="str">
        <f t="array" aca="1" ref="AD11" ca="1">IF(SMALL(IF(($F11:$AC11&lt;&gt;""),COLUMN($F11:$AC11),999),COLUMN(A:A))=999,"",OFFSET($F11,0,SMALL(IF(($F11:$AC11&lt;&gt;""),COLUMN($F11:$AC11),999),COLUMN(A:A))-6))</f>
        <v/>
      </c>
      <c r="AE11" s="78" t="str">
        <f t="array" aca="1" ref="AE11" ca="1">IF(SMALL(IF(($F11:$AC11&lt;&gt;""),COLUMN($F11:$AC11),999),COLUMN(B:B))=999,"",OFFSET($F11,0,SMALL(IF(($F11:$AC11&lt;&gt;""),COLUMN($F11:$AC11),999),COLUMN(B:B))-6))</f>
        <v/>
      </c>
      <c r="AF11" s="78" t="str">
        <f t="array" aca="1" ref="AF11" ca="1">IF(SMALL(IF(($F11:$AC11&lt;&gt;""),COLUMN($F11:$AC11),999),COLUMN(C:C))=999,"",OFFSET($F11,0,SMALL(IF(($F11:$AC11&lt;&gt;""),COLUMN($F11:$AC11),999),COLUMN(C:C))-6))</f>
        <v/>
      </c>
      <c r="AG11" s="78" t="str">
        <f t="array" aca="1" ref="AG11" ca="1">IF(SMALL(IF(($F11:$AC11&lt;&gt;""),COLUMN($F11:$AC11),999),COLUMN(D:D))=999,"",OFFSET($F11,0,SMALL(IF(($F11:$AC11&lt;&gt;""),COLUMN($F11:$AC11),999),COLUMN(D:D))-6))</f>
        <v/>
      </c>
      <c r="AH11" s="78" t="str">
        <f t="array" aca="1" ref="AH11" ca="1">IF(SMALL(IF(($F11:$AC11&lt;&gt;""),COLUMN($F11:$AC11),999),COLUMN(E:E))=999,"",OFFSET($F11,0,SMALL(IF(($F11:$AC11&lt;&gt;""),COLUMN($F11:$AC11),999),COLUMN(E:E))-6))</f>
        <v/>
      </c>
      <c r="AI11" s="78" t="str">
        <f t="array" aca="1" ref="AI11" ca="1">IF(SMALL(IF(($F11:$AC11&lt;&gt;""),COLUMN($F11:$AC11),999),COLUMN(F:F))=999,"",OFFSET($F11,0,SMALL(IF(($F11:$AC11&lt;&gt;""),COLUMN($F11:$AC11),999),COLUMN(F:F))-6))</f>
        <v/>
      </c>
      <c r="AJ11" s="78" t="str">
        <f t="array" aca="1" ref="AJ11" ca="1">IF(SMALL(IF(($F11:$AC11&lt;&gt;""),COLUMN($F11:$AC11),999),COLUMN(G:G))=999,"",OFFSET($F11,0,SMALL(IF(($F11:$AC11&lt;&gt;""),COLUMN($F11:$AC11),999),COLUMN(G:G))-6))</f>
        <v/>
      </c>
      <c r="AK11" s="78" t="str">
        <f t="array" aca="1" ref="AK11" ca="1">IF(SMALL(IF(($F11:$AC11&lt;&gt;""),COLUMN($F11:$AC11),999),COLUMN(H:H))=999,"",OFFSET($F11,0,SMALL(IF(($F11:$AC11&lt;&gt;""),COLUMN($F11:$AC11),999),COLUMN(H:H))-6))</f>
        <v/>
      </c>
      <c r="AL11" s="78" t="str">
        <f t="array" aca="1" ref="AL11" ca="1">IF(SMALL(IF(($F11:$AC11&lt;&gt;""),COLUMN($F11:$AC11),999),COLUMN(I:I))=999,"",OFFSET($F11,0,SMALL(IF(($F11:$AC11&lt;&gt;""),COLUMN($F11:$AC11),999),COLUMN(I:I))-6))</f>
        <v/>
      </c>
      <c r="AM11" s="78" t="str">
        <f t="array" aca="1" ref="AM11" ca="1">IF(SMALL(IF(($F11:$AC11&lt;&gt;""),COLUMN($F11:$AC11),999),COLUMN(J:J))=999,"",OFFSET($F11,0,SMALL(IF(($F11:$AC11&lt;&gt;""),COLUMN($F11:$AC11),999),COLUMN(J:J))-6))</f>
        <v/>
      </c>
      <c r="AN11" s="78" t="str">
        <f t="array" aca="1" ref="AN11" ca="1">IF(SMALL(IF(($F11:$AC11&lt;&gt;""),COLUMN($F11:$AC11),999),COLUMN(K:K))=999,"",OFFSET($F11,0,SMALL(IF(($F11:$AC11&lt;&gt;""),COLUMN($F11:$AC11),999),COLUMN(K:K))-6))</f>
        <v/>
      </c>
      <c r="AO11" s="78" t="str">
        <f t="array" aca="1" ref="AO11" ca="1">IF(SMALL(IF(($F11:$AC11&lt;&gt;""),COLUMN($F11:$AC11),999),COLUMN(L:L))=999,"",OFFSET($F11,0,SMALL(IF(($F11:$AC11&lt;&gt;""),COLUMN($F11:$AC11),999),COLUMN(L:L))-6))</f>
        <v/>
      </c>
      <c r="AP11" s="78" t="str">
        <f t="array" aca="1" ref="AP11" ca="1">IF(SMALL(IF(($F11:$AC11&lt;&gt;""),COLUMN($F11:$AC11),999),COLUMN(M:M))=999,"",OFFSET($F11,0,SMALL(IF(($F11:$AC11&lt;&gt;""),COLUMN($F11:$AC11),999),COLUMN(M:M))-6))</f>
        <v/>
      </c>
      <c r="AQ11" s="78" t="str">
        <f t="array" aca="1" ref="AQ11" ca="1">IF(SMALL(IF(($F11:$AC11&lt;&gt;""),COLUMN($F11:$AC11),999),COLUMN(N:N))=999,"",OFFSET($F11,0,SMALL(IF(($F11:$AC11&lt;&gt;""),COLUMN($F11:$AC11),999),COLUMN(N:N))-6))</f>
        <v/>
      </c>
      <c r="AR11" s="78" t="str">
        <f t="array" aca="1" ref="AR11" ca="1">IF(SMALL(IF(($F11:$AC11&lt;&gt;""),COLUMN($F11:$AC11),999),COLUMN(O:O))=999,"",OFFSET($F11,0,SMALL(IF(($F11:$AC11&lt;&gt;""),COLUMN($F11:$AC11),999),COLUMN(O:O))-6))</f>
        <v/>
      </c>
      <c r="AS11" s="78" t="str">
        <f t="array" aca="1" ref="AS11" ca="1">IF(SMALL(IF(($F11:$AC11&lt;&gt;""),COLUMN($F11:$AC11),999),COLUMN(P:P))=999,"",OFFSET($F11,0,SMALL(IF(($F11:$AC11&lt;&gt;""),COLUMN($F11:$AC11),999),COLUMN(P:P))-6))</f>
        <v/>
      </c>
      <c r="AT11" s="78" t="str">
        <f t="array" aca="1" ref="AT11" ca="1">IF(SMALL(IF(($F11:$AC11&lt;&gt;""),COLUMN($F11:$AC11),999),COLUMN(Q:Q))=999,"",OFFSET($F11,0,SMALL(IF(($F11:$AC11&lt;&gt;""),COLUMN($F11:$AC11),999),COLUMN(Q:Q))-6))</f>
        <v/>
      </c>
      <c r="AU11" s="78" t="str">
        <f t="array" aca="1" ref="AU11" ca="1">IF(SMALL(IF(($F11:$AC11&lt;&gt;""),COLUMN($F11:$AC11),999),COLUMN(R:R))=999,"",OFFSET($F11,0,SMALL(IF(($F11:$AC11&lt;&gt;""),COLUMN($F11:$AC11),999),COLUMN(R:R))-6))</f>
        <v/>
      </c>
      <c r="AV11" s="78" t="str">
        <f t="array" aca="1" ref="AV11" ca="1">IF(SMALL(IF(($F11:$AC11&lt;&gt;""),COLUMN($F11:$AC11),999),COLUMN(S:S))=999,"",OFFSET($F11,0,SMALL(IF(($F11:$AC11&lt;&gt;""),COLUMN($F11:$AC11),999),COLUMN(S:S))-6))</f>
        <v/>
      </c>
      <c r="AW11" s="78" t="str">
        <f t="array" aca="1" ref="AW11" ca="1">IF(SMALL(IF(($F11:$AC11&lt;&gt;""),COLUMN($F11:$AC11),999),COLUMN(T:T))=999,"",OFFSET($F11,0,SMALL(IF(($F11:$AC11&lt;&gt;""),COLUMN($F11:$AC11),999),COLUMN(T:T))-6))</f>
        <v/>
      </c>
      <c r="AX11" s="78" t="str">
        <f t="array" aca="1" ref="AX11" ca="1">IF(SMALL(IF(($F11:$AC11&lt;&gt;""),COLUMN($F11:$AC11),999),COLUMN(U:U))=999,"",OFFSET($F11,0,SMALL(IF(($F11:$AC11&lt;&gt;""),COLUMN($F11:$AC11),999),COLUMN(U:U))-6))</f>
        <v/>
      </c>
      <c r="AY11" s="78" t="str">
        <f t="array" aca="1" ref="AY11" ca="1">IF(SMALL(IF(($F11:$AC11&lt;&gt;""),COLUMN($F11:$AC11),999),COLUMN(V:V))=999,"",OFFSET($F11,0,SMALL(IF(($F11:$AC11&lt;&gt;""),COLUMN($F11:$AC11),999),COLUMN(V:V))-6))</f>
        <v/>
      </c>
      <c r="AZ11" s="78" t="str">
        <f t="array" aca="1" ref="AZ11" ca="1">IF(SMALL(IF(($F11:$AC11&lt;&gt;""),COLUMN($F11:$AC11),999),COLUMN(W:W))=999,"",OFFSET($F11,0,SMALL(IF(($F11:$AC11&lt;&gt;""),COLUMN($F11:$AC11),999),COLUMN(W:W))-6))</f>
        <v/>
      </c>
      <c r="BA11" s="78" t="str">
        <f t="array" aca="1" ref="BA11" ca="1">IF(SMALL(IF(($F11:$AC11&lt;&gt;""),COLUMN($F11:$AC11),999),COLUMN(X:X))=999,"",OFFSET($F11,0,SMALL(IF(($F11:$AC11&lt;&gt;""),COLUMN($F11:$AC11),999),COLUMN(X:X))-6))</f>
        <v/>
      </c>
    </row>
    <row r="12" spans="1:53" ht="26.45" customHeight="1" x14ac:dyDescent="0.25">
      <c r="A12" s="83">
        <v>10</v>
      </c>
      <c r="B12" s="80"/>
      <c r="C12" s="86" t="str">
        <f t="array" ref="C12">IFERROR(INDEX(job_name,MATCH(B12,FMS_Job,0)),"--")</f>
        <v>--</v>
      </c>
      <c r="D12" s="86" t="str">
        <f t="array" ref="D12">IFERROR(INDEX(Lab_Reference,MATCH(B12,FMS_Job,0)),"--")</f>
        <v>--</v>
      </c>
      <c r="E12" s="102"/>
      <c r="F12" s="26" t="str">
        <f t="shared" si="0"/>
        <v/>
      </c>
      <c r="G12" s="26" t="str">
        <f t="shared" si="1"/>
        <v/>
      </c>
      <c r="H12" s="26" t="str">
        <f t="shared" si="1"/>
        <v/>
      </c>
      <c r="I12" s="26" t="str">
        <f t="shared" si="1"/>
        <v/>
      </c>
      <c r="J12" s="26" t="str">
        <f t="shared" si="1"/>
        <v/>
      </c>
      <c r="K12" s="26" t="str">
        <f t="shared" si="2"/>
        <v/>
      </c>
      <c r="L12" s="26" t="str">
        <f t="shared" si="3"/>
        <v/>
      </c>
      <c r="M12" s="26" t="str">
        <f t="shared" si="1"/>
        <v/>
      </c>
      <c r="N12" s="26" t="str">
        <f t="shared" si="1"/>
        <v/>
      </c>
      <c r="O12" s="26" t="str">
        <f t="shared" si="1"/>
        <v/>
      </c>
      <c r="P12" s="26" t="str">
        <f t="shared" si="1"/>
        <v/>
      </c>
      <c r="Q12" s="26" t="str">
        <f t="shared" si="1"/>
        <v/>
      </c>
      <c r="R12" s="26" t="str">
        <f t="shared" si="1"/>
        <v/>
      </c>
      <c r="S12" s="26" t="str">
        <f t="shared" si="1"/>
        <v/>
      </c>
      <c r="T12" s="26" t="str">
        <f t="shared" si="1"/>
        <v/>
      </c>
      <c r="U12" s="26" t="str">
        <f t="shared" si="1"/>
        <v/>
      </c>
      <c r="V12" s="26" t="str">
        <f t="shared" si="1"/>
        <v/>
      </c>
      <c r="W12" s="26" t="str">
        <f t="shared" si="1"/>
        <v/>
      </c>
      <c r="X12" s="26" t="str">
        <f t="shared" si="1"/>
        <v/>
      </c>
      <c r="Y12" s="26" t="str">
        <f t="shared" si="5"/>
        <v/>
      </c>
      <c r="Z12" s="26" t="str">
        <f t="shared" si="5"/>
        <v/>
      </c>
      <c r="AA12" s="26" t="str">
        <f t="shared" si="1"/>
        <v/>
      </c>
      <c r="AB12" s="26" t="str">
        <f t="shared" si="4"/>
        <v/>
      </c>
      <c r="AC12" s="26" t="str">
        <f t="shared" si="1"/>
        <v/>
      </c>
      <c r="AD12" s="78" t="str">
        <f t="array" aca="1" ref="AD12" ca="1">IF(SMALL(IF(($F12:$AC12&lt;&gt;""),COLUMN($F12:$AC12),999),COLUMN(A:A))=999,"",OFFSET($F12,0,SMALL(IF(($F12:$AC12&lt;&gt;""),COLUMN($F12:$AC12),999),COLUMN(A:A))-6))</f>
        <v/>
      </c>
      <c r="AE12" s="78" t="str">
        <f t="array" aca="1" ref="AE12" ca="1">IF(SMALL(IF(($F12:$AC12&lt;&gt;""),COLUMN($F12:$AC12),999),COLUMN(B:B))=999,"",OFFSET($F12,0,SMALL(IF(($F12:$AC12&lt;&gt;""),COLUMN($F12:$AC12),999),COLUMN(B:B))-6))</f>
        <v/>
      </c>
      <c r="AF12" s="78" t="str">
        <f t="array" aca="1" ref="AF12" ca="1">IF(SMALL(IF(($F12:$AC12&lt;&gt;""),COLUMN($F12:$AC12),999),COLUMN(C:C))=999,"",OFFSET($F12,0,SMALL(IF(($F12:$AC12&lt;&gt;""),COLUMN($F12:$AC12),999),COLUMN(C:C))-6))</f>
        <v/>
      </c>
      <c r="AG12" s="78" t="str">
        <f t="array" aca="1" ref="AG12" ca="1">IF(SMALL(IF(($F12:$AC12&lt;&gt;""),COLUMN($F12:$AC12),999),COLUMN(D:D))=999,"",OFFSET($F12,0,SMALL(IF(($F12:$AC12&lt;&gt;""),COLUMN($F12:$AC12),999),COLUMN(D:D))-6))</f>
        <v/>
      </c>
      <c r="AH12" s="78" t="str">
        <f t="array" aca="1" ref="AH12" ca="1">IF(SMALL(IF(($F12:$AC12&lt;&gt;""),COLUMN($F12:$AC12),999),COLUMN(E:E))=999,"",OFFSET($F12,0,SMALL(IF(($F12:$AC12&lt;&gt;""),COLUMN($F12:$AC12),999),COLUMN(E:E))-6))</f>
        <v/>
      </c>
      <c r="AI12" s="78" t="str">
        <f t="array" aca="1" ref="AI12" ca="1">IF(SMALL(IF(($F12:$AC12&lt;&gt;""),COLUMN($F12:$AC12),999),COLUMN(F:F))=999,"",OFFSET($F12,0,SMALL(IF(($F12:$AC12&lt;&gt;""),COLUMN($F12:$AC12),999),COLUMN(F:F))-6))</f>
        <v/>
      </c>
      <c r="AJ12" s="78" t="str">
        <f t="array" aca="1" ref="AJ12" ca="1">IF(SMALL(IF(($F12:$AC12&lt;&gt;""),COLUMN($F12:$AC12),999),COLUMN(G:G))=999,"",OFFSET($F12,0,SMALL(IF(($F12:$AC12&lt;&gt;""),COLUMN($F12:$AC12),999),COLUMN(G:G))-6))</f>
        <v/>
      </c>
      <c r="AK12" s="78" t="str">
        <f t="array" aca="1" ref="AK12" ca="1">IF(SMALL(IF(($F12:$AC12&lt;&gt;""),COLUMN($F12:$AC12),999),COLUMN(H:H))=999,"",OFFSET($F12,0,SMALL(IF(($F12:$AC12&lt;&gt;""),COLUMN($F12:$AC12),999),COLUMN(H:H))-6))</f>
        <v/>
      </c>
      <c r="AL12" s="78" t="str">
        <f t="array" aca="1" ref="AL12" ca="1">IF(SMALL(IF(($F12:$AC12&lt;&gt;""),COLUMN($F12:$AC12),999),COLUMN(I:I))=999,"",OFFSET($F12,0,SMALL(IF(($F12:$AC12&lt;&gt;""),COLUMN($F12:$AC12),999),COLUMN(I:I))-6))</f>
        <v/>
      </c>
      <c r="AM12" s="78" t="str">
        <f t="array" aca="1" ref="AM12" ca="1">IF(SMALL(IF(($F12:$AC12&lt;&gt;""),COLUMN($F12:$AC12),999),COLUMN(J:J))=999,"",OFFSET($F12,0,SMALL(IF(($F12:$AC12&lt;&gt;""),COLUMN($F12:$AC12),999),COLUMN(J:J))-6))</f>
        <v/>
      </c>
      <c r="AN12" s="78" t="str">
        <f t="array" aca="1" ref="AN12" ca="1">IF(SMALL(IF(($F12:$AC12&lt;&gt;""),COLUMN($F12:$AC12),999),COLUMN(K:K))=999,"",OFFSET($F12,0,SMALL(IF(($F12:$AC12&lt;&gt;""),COLUMN($F12:$AC12),999),COLUMN(K:K))-6))</f>
        <v/>
      </c>
      <c r="AO12" s="78" t="str">
        <f t="array" aca="1" ref="AO12" ca="1">IF(SMALL(IF(($F12:$AC12&lt;&gt;""),COLUMN($F12:$AC12),999),COLUMN(L:L))=999,"",OFFSET($F12,0,SMALL(IF(($F12:$AC12&lt;&gt;""),COLUMN($F12:$AC12),999),COLUMN(L:L))-6))</f>
        <v/>
      </c>
      <c r="AP12" s="78" t="str">
        <f t="array" aca="1" ref="AP12" ca="1">IF(SMALL(IF(($F12:$AC12&lt;&gt;""),COLUMN($F12:$AC12),999),COLUMN(M:M))=999,"",OFFSET($F12,0,SMALL(IF(($F12:$AC12&lt;&gt;""),COLUMN($F12:$AC12),999),COLUMN(M:M))-6))</f>
        <v/>
      </c>
      <c r="AQ12" s="78" t="str">
        <f t="array" aca="1" ref="AQ12" ca="1">IF(SMALL(IF(($F12:$AC12&lt;&gt;""),COLUMN($F12:$AC12),999),COLUMN(N:N))=999,"",OFFSET($F12,0,SMALL(IF(($F12:$AC12&lt;&gt;""),COLUMN($F12:$AC12),999),COLUMN(N:N))-6))</f>
        <v/>
      </c>
      <c r="AR12" s="78" t="str">
        <f t="array" aca="1" ref="AR12" ca="1">IF(SMALL(IF(($F12:$AC12&lt;&gt;""),COLUMN($F12:$AC12),999),COLUMN(O:O))=999,"",OFFSET($F12,0,SMALL(IF(($F12:$AC12&lt;&gt;""),COLUMN($F12:$AC12),999),COLUMN(O:O))-6))</f>
        <v/>
      </c>
      <c r="AS12" s="78" t="str">
        <f t="array" aca="1" ref="AS12" ca="1">IF(SMALL(IF(($F12:$AC12&lt;&gt;""),COLUMN($F12:$AC12),999),COLUMN(P:P))=999,"",OFFSET($F12,0,SMALL(IF(($F12:$AC12&lt;&gt;""),COLUMN($F12:$AC12),999),COLUMN(P:P))-6))</f>
        <v/>
      </c>
      <c r="AT12" s="78" t="str">
        <f t="array" aca="1" ref="AT12" ca="1">IF(SMALL(IF(($F12:$AC12&lt;&gt;""),COLUMN($F12:$AC12),999),COLUMN(Q:Q))=999,"",OFFSET($F12,0,SMALL(IF(($F12:$AC12&lt;&gt;""),COLUMN($F12:$AC12),999),COLUMN(Q:Q))-6))</f>
        <v/>
      </c>
      <c r="AU12" s="78" t="str">
        <f t="array" aca="1" ref="AU12" ca="1">IF(SMALL(IF(($F12:$AC12&lt;&gt;""),COLUMN($F12:$AC12),999),COLUMN(R:R))=999,"",OFFSET($F12,0,SMALL(IF(($F12:$AC12&lt;&gt;""),COLUMN($F12:$AC12),999),COLUMN(R:R))-6))</f>
        <v/>
      </c>
      <c r="AV12" s="78" t="str">
        <f t="array" aca="1" ref="AV12" ca="1">IF(SMALL(IF(($F12:$AC12&lt;&gt;""),COLUMN($F12:$AC12),999),COLUMN(S:S))=999,"",OFFSET($F12,0,SMALL(IF(($F12:$AC12&lt;&gt;""),COLUMN($F12:$AC12),999),COLUMN(S:S))-6))</f>
        <v/>
      </c>
      <c r="AW12" s="78" t="str">
        <f t="array" aca="1" ref="AW12" ca="1">IF(SMALL(IF(($F12:$AC12&lt;&gt;""),COLUMN($F12:$AC12),999),COLUMN(T:T))=999,"",OFFSET($F12,0,SMALL(IF(($F12:$AC12&lt;&gt;""),COLUMN($F12:$AC12),999),COLUMN(T:T))-6))</f>
        <v/>
      </c>
      <c r="AX12" s="78" t="str">
        <f t="array" aca="1" ref="AX12" ca="1">IF(SMALL(IF(($F12:$AC12&lt;&gt;""),COLUMN($F12:$AC12),999),COLUMN(U:U))=999,"",OFFSET($F12,0,SMALL(IF(($F12:$AC12&lt;&gt;""),COLUMN($F12:$AC12),999),COLUMN(U:U))-6))</f>
        <v/>
      </c>
      <c r="AY12" s="78" t="str">
        <f t="array" aca="1" ref="AY12" ca="1">IF(SMALL(IF(($F12:$AC12&lt;&gt;""),COLUMN($F12:$AC12),999),COLUMN(V:V))=999,"",OFFSET($F12,0,SMALL(IF(($F12:$AC12&lt;&gt;""),COLUMN($F12:$AC12),999),COLUMN(V:V))-6))</f>
        <v/>
      </c>
      <c r="AZ12" s="78" t="str">
        <f t="array" aca="1" ref="AZ12" ca="1">IF(SMALL(IF(($F12:$AC12&lt;&gt;""),COLUMN($F12:$AC12),999),COLUMN(W:W))=999,"",OFFSET($F12,0,SMALL(IF(($F12:$AC12&lt;&gt;""),COLUMN($F12:$AC12),999),COLUMN(W:W))-6))</f>
        <v/>
      </c>
      <c r="BA12" s="78" t="str">
        <f t="array" aca="1" ref="BA12" ca="1">IF(SMALL(IF(($F12:$AC12&lt;&gt;""),COLUMN($F12:$AC12),999),COLUMN(X:X))=999,"",OFFSET($F12,0,SMALL(IF(($F12:$AC12&lt;&gt;""),COLUMN($F12:$AC12),999),COLUMN(X:X))-6))</f>
        <v/>
      </c>
    </row>
    <row r="13" spans="1:53" ht="26.45" customHeight="1" x14ac:dyDescent="0.25">
      <c r="A13" s="83">
        <v>11</v>
      </c>
      <c r="B13" s="80"/>
      <c r="C13" s="86" t="str">
        <f t="array" ref="C13">IFERROR(INDEX(job_name,MATCH(B13,FMS_Job,0)),"--")</f>
        <v>--</v>
      </c>
      <c r="D13" s="86" t="str">
        <f t="array" ref="D13">IFERROR(INDEX(Lab_Reference,MATCH(B13,FMS_Job,0)),"--")</f>
        <v>--</v>
      </c>
      <c r="E13" s="291"/>
      <c r="F13" s="26" t="str">
        <f t="shared" si="0"/>
        <v/>
      </c>
      <c r="G13" s="26" t="str">
        <f t="shared" si="1"/>
        <v/>
      </c>
      <c r="H13" s="26" t="str">
        <f t="shared" si="1"/>
        <v/>
      </c>
      <c r="I13" s="26" t="str">
        <f t="shared" si="1"/>
        <v/>
      </c>
      <c r="J13" s="26" t="str">
        <f t="shared" si="1"/>
        <v/>
      </c>
      <c r="K13" s="26" t="str">
        <f t="shared" si="2"/>
        <v/>
      </c>
      <c r="L13" s="26" t="str">
        <f t="shared" si="3"/>
        <v/>
      </c>
      <c r="M13" s="26" t="str">
        <f t="shared" si="1"/>
        <v/>
      </c>
      <c r="N13" s="26" t="str">
        <f t="shared" si="1"/>
        <v/>
      </c>
      <c r="O13" s="26" t="str">
        <f t="shared" si="1"/>
        <v/>
      </c>
      <c r="P13" s="26" t="str">
        <f t="shared" si="1"/>
        <v/>
      </c>
      <c r="Q13" s="26" t="str">
        <f t="shared" si="1"/>
        <v/>
      </c>
      <c r="R13" s="26" t="str">
        <f t="shared" si="1"/>
        <v/>
      </c>
      <c r="S13" s="26" t="str">
        <f t="shared" si="1"/>
        <v/>
      </c>
      <c r="T13" s="26" t="str">
        <f t="shared" si="1"/>
        <v/>
      </c>
      <c r="U13" s="26" t="str">
        <f t="shared" si="1"/>
        <v/>
      </c>
      <c r="V13" s="26" t="str">
        <f t="shared" si="1"/>
        <v/>
      </c>
      <c r="W13" s="26" t="str">
        <f t="shared" si="1"/>
        <v/>
      </c>
      <c r="X13" s="26" t="str">
        <f t="shared" si="1"/>
        <v/>
      </c>
      <c r="Y13" s="26" t="str">
        <f t="shared" si="5"/>
        <v/>
      </c>
      <c r="Z13" s="26" t="str">
        <f t="shared" si="5"/>
        <v/>
      </c>
      <c r="AA13" s="26" t="str">
        <f t="shared" si="1"/>
        <v/>
      </c>
      <c r="AB13" s="26" t="str">
        <f t="shared" si="4"/>
        <v/>
      </c>
      <c r="AC13" s="26" t="str">
        <f t="shared" si="1"/>
        <v/>
      </c>
      <c r="AD13" s="78" t="str">
        <f t="array" aca="1" ref="AD13" ca="1">IF(SMALL(IF(($F13:$AC13&lt;&gt;""),COLUMN($F13:$AC13),999),COLUMN(A:A))=999,"",OFFSET($F13,0,SMALL(IF(($F13:$AC13&lt;&gt;""),COLUMN($F13:$AC13),999),COLUMN(A:A))-6))</f>
        <v/>
      </c>
      <c r="AE13" s="78" t="str">
        <f t="array" aca="1" ref="AE13" ca="1">IF(SMALL(IF(($F13:$AC13&lt;&gt;""),COLUMN($F13:$AC13),999),COLUMN(B:B))=999,"",OFFSET($F13,0,SMALL(IF(($F13:$AC13&lt;&gt;""),COLUMN($F13:$AC13),999),COLUMN(B:B))-6))</f>
        <v/>
      </c>
      <c r="AF13" s="78" t="str">
        <f t="array" aca="1" ref="AF13" ca="1">IF(SMALL(IF(($F13:$AC13&lt;&gt;""),COLUMN($F13:$AC13),999),COLUMN(C:C))=999,"",OFFSET($F13,0,SMALL(IF(($F13:$AC13&lt;&gt;""),COLUMN($F13:$AC13),999),COLUMN(C:C))-6))</f>
        <v/>
      </c>
      <c r="AG13" s="78" t="str">
        <f t="array" aca="1" ref="AG13" ca="1">IF(SMALL(IF(($F13:$AC13&lt;&gt;""),COLUMN($F13:$AC13),999),COLUMN(D:D))=999,"",OFFSET($F13,0,SMALL(IF(($F13:$AC13&lt;&gt;""),COLUMN($F13:$AC13),999),COLUMN(D:D))-6))</f>
        <v/>
      </c>
      <c r="AH13" s="78" t="str">
        <f t="array" aca="1" ref="AH13" ca="1">IF(SMALL(IF(($F13:$AC13&lt;&gt;""),COLUMN($F13:$AC13),999),COLUMN(E:E))=999,"",OFFSET($F13,0,SMALL(IF(($F13:$AC13&lt;&gt;""),COLUMN($F13:$AC13),999),COLUMN(E:E))-6))</f>
        <v/>
      </c>
      <c r="AI13" s="78" t="str">
        <f t="array" aca="1" ref="AI13" ca="1">IF(SMALL(IF(($F13:$AC13&lt;&gt;""),COLUMN($F13:$AC13),999),COLUMN(F:F))=999,"",OFFSET($F13,0,SMALL(IF(($F13:$AC13&lt;&gt;""),COLUMN($F13:$AC13),999),COLUMN(F:F))-6))</f>
        <v/>
      </c>
      <c r="AJ13" s="78" t="str">
        <f t="array" aca="1" ref="AJ13" ca="1">IF(SMALL(IF(($F13:$AC13&lt;&gt;""),COLUMN($F13:$AC13),999),COLUMN(G:G))=999,"",OFFSET($F13,0,SMALL(IF(($F13:$AC13&lt;&gt;""),COLUMN($F13:$AC13),999),COLUMN(G:G))-6))</f>
        <v/>
      </c>
      <c r="AK13" s="78" t="str">
        <f t="array" aca="1" ref="AK13" ca="1">IF(SMALL(IF(($F13:$AC13&lt;&gt;""),COLUMN($F13:$AC13),999),COLUMN(H:H))=999,"",OFFSET($F13,0,SMALL(IF(($F13:$AC13&lt;&gt;""),COLUMN($F13:$AC13),999),COLUMN(H:H))-6))</f>
        <v/>
      </c>
      <c r="AL13" s="78" t="str">
        <f t="array" aca="1" ref="AL13" ca="1">IF(SMALL(IF(($F13:$AC13&lt;&gt;""),COLUMN($F13:$AC13),999),COLUMN(I:I))=999,"",OFFSET($F13,0,SMALL(IF(($F13:$AC13&lt;&gt;""),COLUMN($F13:$AC13),999),COLUMN(I:I))-6))</f>
        <v/>
      </c>
      <c r="AM13" s="78" t="str">
        <f t="array" aca="1" ref="AM13" ca="1">IF(SMALL(IF(($F13:$AC13&lt;&gt;""),COLUMN($F13:$AC13),999),COLUMN(J:J))=999,"",OFFSET($F13,0,SMALL(IF(($F13:$AC13&lt;&gt;""),COLUMN($F13:$AC13),999),COLUMN(J:J))-6))</f>
        <v/>
      </c>
      <c r="AN13" s="78" t="str">
        <f t="array" aca="1" ref="AN13" ca="1">IF(SMALL(IF(($F13:$AC13&lt;&gt;""),COLUMN($F13:$AC13),999),COLUMN(K:K))=999,"",OFFSET($F13,0,SMALL(IF(($F13:$AC13&lt;&gt;""),COLUMN($F13:$AC13),999),COLUMN(K:K))-6))</f>
        <v/>
      </c>
      <c r="AO13" s="78" t="str">
        <f t="array" aca="1" ref="AO13" ca="1">IF(SMALL(IF(($F13:$AC13&lt;&gt;""),COLUMN($F13:$AC13),999),COLUMN(L:L))=999,"",OFFSET($F13,0,SMALL(IF(($F13:$AC13&lt;&gt;""),COLUMN($F13:$AC13),999),COLUMN(L:L))-6))</f>
        <v/>
      </c>
      <c r="AP13" s="78" t="str">
        <f t="array" aca="1" ref="AP13" ca="1">IF(SMALL(IF(($F13:$AC13&lt;&gt;""),COLUMN($F13:$AC13),999),COLUMN(M:M))=999,"",OFFSET($F13,0,SMALL(IF(($F13:$AC13&lt;&gt;""),COLUMN($F13:$AC13),999),COLUMN(M:M))-6))</f>
        <v/>
      </c>
      <c r="AQ13" s="78" t="str">
        <f t="array" aca="1" ref="AQ13" ca="1">IF(SMALL(IF(($F13:$AC13&lt;&gt;""),COLUMN($F13:$AC13),999),COLUMN(N:N))=999,"",OFFSET($F13,0,SMALL(IF(($F13:$AC13&lt;&gt;""),COLUMN($F13:$AC13),999),COLUMN(N:N))-6))</f>
        <v/>
      </c>
      <c r="AR13" s="78" t="str">
        <f t="array" aca="1" ref="AR13" ca="1">IF(SMALL(IF(($F13:$AC13&lt;&gt;""),COLUMN($F13:$AC13),999),COLUMN(O:O))=999,"",OFFSET($F13,0,SMALL(IF(($F13:$AC13&lt;&gt;""),COLUMN($F13:$AC13),999),COLUMN(O:O))-6))</f>
        <v/>
      </c>
      <c r="AS13" s="78" t="str">
        <f t="array" aca="1" ref="AS13" ca="1">IF(SMALL(IF(($F13:$AC13&lt;&gt;""),COLUMN($F13:$AC13),999),COLUMN(P:P))=999,"",OFFSET($F13,0,SMALL(IF(($F13:$AC13&lt;&gt;""),COLUMN($F13:$AC13),999),COLUMN(P:P))-6))</f>
        <v/>
      </c>
      <c r="AT13" s="78" t="str">
        <f t="array" aca="1" ref="AT13" ca="1">IF(SMALL(IF(($F13:$AC13&lt;&gt;""),COLUMN($F13:$AC13),999),COLUMN(Q:Q))=999,"",OFFSET($F13,0,SMALL(IF(($F13:$AC13&lt;&gt;""),COLUMN($F13:$AC13),999),COLUMN(Q:Q))-6))</f>
        <v/>
      </c>
      <c r="AU13" s="78" t="str">
        <f t="array" aca="1" ref="AU13" ca="1">IF(SMALL(IF(($F13:$AC13&lt;&gt;""),COLUMN($F13:$AC13),999),COLUMN(R:R))=999,"",OFFSET($F13,0,SMALL(IF(($F13:$AC13&lt;&gt;""),COLUMN($F13:$AC13),999),COLUMN(R:R))-6))</f>
        <v/>
      </c>
      <c r="AV13" s="78" t="str">
        <f t="array" aca="1" ref="AV13" ca="1">IF(SMALL(IF(($F13:$AC13&lt;&gt;""),COLUMN($F13:$AC13),999),COLUMN(S:S))=999,"",OFFSET($F13,0,SMALL(IF(($F13:$AC13&lt;&gt;""),COLUMN($F13:$AC13),999),COLUMN(S:S))-6))</f>
        <v/>
      </c>
      <c r="AW13" s="78" t="str">
        <f t="array" aca="1" ref="AW13" ca="1">IF(SMALL(IF(($F13:$AC13&lt;&gt;""),COLUMN($F13:$AC13),999),COLUMN(T:T))=999,"",OFFSET($F13,0,SMALL(IF(($F13:$AC13&lt;&gt;""),COLUMN($F13:$AC13),999),COLUMN(T:T))-6))</f>
        <v/>
      </c>
      <c r="AX13" s="78" t="str">
        <f t="array" aca="1" ref="AX13" ca="1">IF(SMALL(IF(($F13:$AC13&lt;&gt;""),COLUMN($F13:$AC13),999),COLUMN(U:U))=999,"",OFFSET($F13,0,SMALL(IF(($F13:$AC13&lt;&gt;""),COLUMN($F13:$AC13),999),COLUMN(U:U))-6))</f>
        <v/>
      </c>
      <c r="AY13" s="78" t="str">
        <f t="array" aca="1" ref="AY13" ca="1">IF(SMALL(IF(($F13:$AC13&lt;&gt;""),COLUMN($F13:$AC13),999),COLUMN(V:V))=999,"",OFFSET($F13,0,SMALL(IF(($F13:$AC13&lt;&gt;""),COLUMN($F13:$AC13),999),COLUMN(V:V))-6))</f>
        <v/>
      </c>
      <c r="AZ13" s="78" t="str">
        <f t="array" aca="1" ref="AZ13" ca="1">IF(SMALL(IF(($F13:$AC13&lt;&gt;""),COLUMN($F13:$AC13),999),COLUMN(W:W))=999,"",OFFSET($F13,0,SMALL(IF(($F13:$AC13&lt;&gt;""),COLUMN($F13:$AC13),999),COLUMN(W:W))-6))</f>
        <v/>
      </c>
      <c r="BA13" s="78" t="str">
        <f t="array" aca="1" ref="BA13" ca="1">IF(SMALL(IF(($F13:$AC13&lt;&gt;""),COLUMN($F13:$AC13),999),COLUMN(X:X))=999,"",OFFSET($F13,0,SMALL(IF(($F13:$AC13&lt;&gt;""),COLUMN($F13:$AC13),999),COLUMN(X:X))-6))</f>
        <v/>
      </c>
    </row>
    <row r="14" spans="1:53" ht="26.45" customHeight="1" x14ac:dyDescent="0.25">
      <c r="A14" s="83">
        <v>12</v>
      </c>
      <c r="B14" s="80"/>
      <c r="C14" s="86" t="str">
        <f t="array" ref="C14">IFERROR(INDEX(job_name,MATCH(B14,FMS_Job,0)),"--")</f>
        <v>--</v>
      </c>
      <c r="D14" s="86" t="str">
        <f t="array" ref="D14">IFERROR(INDEX(Lab_Reference,MATCH(B14,FMS_Job,0)),"--")</f>
        <v>--</v>
      </c>
      <c r="E14" s="291"/>
      <c r="F14" s="26" t="str">
        <f t="shared" si="0"/>
        <v/>
      </c>
      <c r="G14" s="26" t="str">
        <f t="shared" si="1"/>
        <v/>
      </c>
      <c r="H14" s="26" t="str">
        <f t="shared" si="1"/>
        <v/>
      </c>
      <c r="I14" s="26" t="str">
        <f t="shared" si="1"/>
        <v/>
      </c>
      <c r="J14" s="26" t="str">
        <f t="shared" si="1"/>
        <v/>
      </c>
      <c r="K14" s="26" t="str">
        <f t="shared" si="2"/>
        <v/>
      </c>
      <c r="L14" s="26" t="str">
        <f t="shared" si="3"/>
        <v/>
      </c>
      <c r="M14" s="26" t="str">
        <f t="shared" si="1"/>
        <v/>
      </c>
      <c r="N14" s="26" t="str">
        <f t="shared" si="1"/>
        <v/>
      </c>
      <c r="O14" s="26" t="str">
        <f t="shared" si="1"/>
        <v/>
      </c>
      <c r="P14" s="26" t="str">
        <f t="shared" si="1"/>
        <v/>
      </c>
      <c r="Q14" s="26" t="str">
        <f t="shared" si="1"/>
        <v/>
      </c>
      <c r="R14" s="26" t="str">
        <f t="shared" si="1"/>
        <v/>
      </c>
      <c r="S14" s="26" t="str">
        <f t="shared" si="1"/>
        <v/>
      </c>
      <c r="T14" s="26" t="str">
        <f t="shared" si="1"/>
        <v/>
      </c>
      <c r="U14" s="26" t="str">
        <f t="shared" si="1"/>
        <v/>
      </c>
      <c r="V14" s="26" t="str">
        <f t="shared" si="1"/>
        <v/>
      </c>
      <c r="W14" s="26" t="str">
        <f t="shared" si="1"/>
        <v/>
      </c>
      <c r="X14" s="26" t="str">
        <f t="shared" si="1"/>
        <v/>
      </c>
      <c r="Y14" s="26" t="str">
        <f t="shared" si="5"/>
        <v/>
      </c>
      <c r="Z14" s="26" t="str">
        <f t="shared" si="5"/>
        <v/>
      </c>
      <c r="AA14" s="26" t="str">
        <f t="shared" si="1"/>
        <v/>
      </c>
      <c r="AB14" s="26" t="str">
        <f t="shared" si="4"/>
        <v/>
      </c>
      <c r="AC14" s="26" t="str">
        <f t="shared" si="1"/>
        <v/>
      </c>
      <c r="AD14" s="78" t="str">
        <f t="array" aca="1" ref="AD14" ca="1">IF(SMALL(IF(($F14:$AC14&lt;&gt;""),COLUMN($F14:$AC14),999),COLUMN(A:A))=999,"",OFFSET($F14,0,SMALL(IF(($F14:$AC14&lt;&gt;""),COLUMN($F14:$AC14),999),COLUMN(A:A))-6))</f>
        <v/>
      </c>
      <c r="AE14" s="78" t="str">
        <f t="array" aca="1" ref="AE14" ca="1">IF(SMALL(IF(($F14:$AC14&lt;&gt;""),COLUMN($F14:$AC14),999),COLUMN(B:B))=999,"",OFFSET($F14,0,SMALL(IF(($F14:$AC14&lt;&gt;""),COLUMN($F14:$AC14),999),COLUMN(B:B))-6))</f>
        <v/>
      </c>
      <c r="AF14" s="78" t="str">
        <f t="array" aca="1" ref="AF14" ca="1">IF(SMALL(IF(($F14:$AC14&lt;&gt;""),COLUMN($F14:$AC14),999),COLUMN(C:C))=999,"",OFFSET($F14,0,SMALL(IF(($F14:$AC14&lt;&gt;""),COLUMN($F14:$AC14),999),COLUMN(C:C))-6))</f>
        <v/>
      </c>
      <c r="AG14" s="78" t="str">
        <f t="array" aca="1" ref="AG14" ca="1">IF(SMALL(IF(($F14:$AC14&lt;&gt;""),COLUMN($F14:$AC14),999),COLUMN(D:D))=999,"",OFFSET($F14,0,SMALL(IF(($F14:$AC14&lt;&gt;""),COLUMN($F14:$AC14),999),COLUMN(D:D))-6))</f>
        <v/>
      </c>
      <c r="AH14" s="78" t="str">
        <f t="array" aca="1" ref="AH14" ca="1">IF(SMALL(IF(($F14:$AC14&lt;&gt;""),COLUMN($F14:$AC14),999),COLUMN(E:E))=999,"",OFFSET($F14,0,SMALL(IF(($F14:$AC14&lt;&gt;""),COLUMN($F14:$AC14),999),COLUMN(E:E))-6))</f>
        <v/>
      </c>
      <c r="AI14" s="78" t="str">
        <f t="array" aca="1" ref="AI14" ca="1">IF(SMALL(IF(($F14:$AC14&lt;&gt;""),COLUMN($F14:$AC14),999),COLUMN(F:F))=999,"",OFFSET($F14,0,SMALL(IF(($F14:$AC14&lt;&gt;""),COLUMN($F14:$AC14),999),COLUMN(F:F))-6))</f>
        <v/>
      </c>
      <c r="AJ14" s="78" t="str">
        <f t="array" aca="1" ref="AJ14" ca="1">IF(SMALL(IF(($F14:$AC14&lt;&gt;""),COLUMN($F14:$AC14),999),COLUMN(G:G))=999,"",OFFSET($F14,0,SMALL(IF(($F14:$AC14&lt;&gt;""),COLUMN($F14:$AC14),999),COLUMN(G:G))-6))</f>
        <v/>
      </c>
      <c r="AK14" s="78" t="str">
        <f t="array" aca="1" ref="AK14" ca="1">IF(SMALL(IF(($F14:$AC14&lt;&gt;""),COLUMN($F14:$AC14),999),COLUMN(H:H))=999,"",OFFSET($F14,0,SMALL(IF(($F14:$AC14&lt;&gt;""),COLUMN($F14:$AC14),999),COLUMN(H:H))-6))</f>
        <v/>
      </c>
      <c r="AL14" s="78" t="str">
        <f t="array" aca="1" ref="AL14" ca="1">IF(SMALL(IF(($F14:$AC14&lt;&gt;""),COLUMN($F14:$AC14),999),COLUMN(I:I))=999,"",OFFSET($F14,0,SMALL(IF(($F14:$AC14&lt;&gt;""),COLUMN($F14:$AC14),999),COLUMN(I:I))-6))</f>
        <v/>
      </c>
      <c r="AM14" s="78" t="str">
        <f t="array" aca="1" ref="AM14" ca="1">IF(SMALL(IF(($F14:$AC14&lt;&gt;""),COLUMN($F14:$AC14),999),COLUMN(J:J))=999,"",OFFSET($F14,0,SMALL(IF(($F14:$AC14&lt;&gt;""),COLUMN($F14:$AC14),999),COLUMN(J:J))-6))</f>
        <v/>
      </c>
      <c r="AN14" s="78" t="str">
        <f t="array" aca="1" ref="AN14" ca="1">IF(SMALL(IF(($F14:$AC14&lt;&gt;""),COLUMN($F14:$AC14),999),COLUMN(K:K))=999,"",OFFSET($F14,0,SMALL(IF(($F14:$AC14&lt;&gt;""),COLUMN($F14:$AC14),999),COLUMN(K:K))-6))</f>
        <v/>
      </c>
      <c r="AO14" s="78" t="str">
        <f t="array" aca="1" ref="AO14" ca="1">IF(SMALL(IF(($F14:$AC14&lt;&gt;""),COLUMN($F14:$AC14),999),COLUMN(L:L))=999,"",OFFSET($F14,0,SMALL(IF(($F14:$AC14&lt;&gt;""),COLUMN($F14:$AC14),999),COLUMN(L:L))-6))</f>
        <v/>
      </c>
      <c r="AP14" s="78" t="str">
        <f t="array" aca="1" ref="AP14" ca="1">IF(SMALL(IF(($F14:$AC14&lt;&gt;""),COLUMN($F14:$AC14),999),COLUMN(M:M))=999,"",OFFSET($F14,0,SMALL(IF(($F14:$AC14&lt;&gt;""),COLUMN($F14:$AC14),999),COLUMN(M:M))-6))</f>
        <v/>
      </c>
      <c r="AQ14" s="78" t="str">
        <f t="array" aca="1" ref="AQ14" ca="1">IF(SMALL(IF(($F14:$AC14&lt;&gt;""),COLUMN($F14:$AC14),999),COLUMN(N:N))=999,"",OFFSET($F14,0,SMALL(IF(($F14:$AC14&lt;&gt;""),COLUMN($F14:$AC14),999),COLUMN(N:N))-6))</f>
        <v/>
      </c>
      <c r="AR14" s="78" t="str">
        <f t="array" aca="1" ref="AR14" ca="1">IF(SMALL(IF(($F14:$AC14&lt;&gt;""),COLUMN($F14:$AC14),999),COLUMN(O:O))=999,"",OFFSET($F14,0,SMALL(IF(($F14:$AC14&lt;&gt;""),COLUMN($F14:$AC14),999),COLUMN(O:O))-6))</f>
        <v/>
      </c>
      <c r="AS14" s="78" t="str">
        <f t="array" aca="1" ref="AS14" ca="1">IF(SMALL(IF(($F14:$AC14&lt;&gt;""),COLUMN($F14:$AC14),999),COLUMN(P:P))=999,"",OFFSET($F14,0,SMALL(IF(($F14:$AC14&lt;&gt;""),COLUMN($F14:$AC14),999),COLUMN(P:P))-6))</f>
        <v/>
      </c>
      <c r="AT14" s="78" t="str">
        <f t="array" aca="1" ref="AT14" ca="1">IF(SMALL(IF(($F14:$AC14&lt;&gt;""),COLUMN($F14:$AC14),999),COLUMN(Q:Q))=999,"",OFFSET($F14,0,SMALL(IF(($F14:$AC14&lt;&gt;""),COLUMN($F14:$AC14),999),COLUMN(Q:Q))-6))</f>
        <v/>
      </c>
      <c r="AU14" s="78" t="str">
        <f t="array" aca="1" ref="AU14" ca="1">IF(SMALL(IF(($F14:$AC14&lt;&gt;""),COLUMN($F14:$AC14),999),COLUMN(R:R))=999,"",OFFSET($F14,0,SMALL(IF(($F14:$AC14&lt;&gt;""),COLUMN($F14:$AC14),999),COLUMN(R:R))-6))</f>
        <v/>
      </c>
      <c r="AV14" s="78" t="str">
        <f t="array" aca="1" ref="AV14" ca="1">IF(SMALL(IF(($F14:$AC14&lt;&gt;""),COLUMN($F14:$AC14),999),COLUMN(S:S))=999,"",OFFSET($F14,0,SMALL(IF(($F14:$AC14&lt;&gt;""),COLUMN($F14:$AC14),999),COLUMN(S:S))-6))</f>
        <v/>
      </c>
      <c r="AW14" s="78" t="str">
        <f t="array" aca="1" ref="AW14" ca="1">IF(SMALL(IF(($F14:$AC14&lt;&gt;""),COLUMN($F14:$AC14),999),COLUMN(T:T))=999,"",OFFSET($F14,0,SMALL(IF(($F14:$AC14&lt;&gt;""),COLUMN($F14:$AC14),999),COLUMN(T:T))-6))</f>
        <v/>
      </c>
      <c r="AX14" s="78" t="str">
        <f t="array" aca="1" ref="AX14" ca="1">IF(SMALL(IF(($F14:$AC14&lt;&gt;""),COLUMN($F14:$AC14),999),COLUMN(U:U))=999,"",OFFSET($F14,0,SMALL(IF(($F14:$AC14&lt;&gt;""),COLUMN($F14:$AC14),999),COLUMN(U:U))-6))</f>
        <v/>
      </c>
      <c r="AY14" s="78" t="str">
        <f t="array" aca="1" ref="AY14" ca="1">IF(SMALL(IF(($F14:$AC14&lt;&gt;""),COLUMN($F14:$AC14),999),COLUMN(V:V))=999,"",OFFSET($F14,0,SMALL(IF(($F14:$AC14&lt;&gt;""),COLUMN($F14:$AC14),999),COLUMN(V:V))-6))</f>
        <v/>
      </c>
      <c r="AZ14" s="78" t="str">
        <f t="array" aca="1" ref="AZ14" ca="1">IF(SMALL(IF(($F14:$AC14&lt;&gt;""),COLUMN($F14:$AC14),999),COLUMN(W:W))=999,"",OFFSET($F14,0,SMALL(IF(($F14:$AC14&lt;&gt;""),COLUMN($F14:$AC14),999),COLUMN(W:W))-6))</f>
        <v/>
      </c>
      <c r="BA14" s="78" t="str">
        <f t="array" aca="1" ref="BA14" ca="1">IF(SMALL(IF(($F14:$AC14&lt;&gt;""),COLUMN($F14:$AC14),999),COLUMN(X:X))=999,"",OFFSET($F14,0,SMALL(IF(($F14:$AC14&lt;&gt;""),COLUMN($F14:$AC14),999),COLUMN(X:X))-6))</f>
        <v/>
      </c>
    </row>
    <row r="15" spans="1:53" ht="26.45" customHeight="1" x14ac:dyDescent="0.25">
      <c r="A15" s="83">
        <v>13</v>
      </c>
      <c r="B15" s="80"/>
      <c r="C15" s="86" t="str">
        <f t="array" ref="C15">IFERROR(INDEX(job_name,MATCH(B15,FMS_Job,0)),"--")</f>
        <v>--</v>
      </c>
      <c r="D15" s="86" t="str">
        <f t="array" ref="D15">IFERROR(INDEX(Lab_Reference,MATCH(B15,FMS_Job,0)),"--")</f>
        <v>--</v>
      </c>
      <c r="E15" s="102"/>
      <c r="F15" s="26" t="str">
        <f t="shared" si="0"/>
        <v/>
      </c>
      <c r="G15" s="26" t="str">
        <f t="shared" si="1"/>
        <v/>
      </c>
      <c r="H15" s="26" t="str">
        <f t="shared" si="1"/>
        <v/>
      </c>
      <c r="I15" s="26" t="str">
        <f t="shared" si="1"/>
        <v/>
      </c>
      <c r="J15" s="26" t="str">
        <f t="shared" si="1"/>
        <v/>
      </c>
      <c r="K15" s="26" t="str">
        <f t="shared" si="2"/>
        <v/>
      </c>
      <c r="L15" s="26" t="str">
        <f t="shared" si="3"/>
        <v/>
      </c>
      <c r="M15" s="26" t="str">
        <f t="shared" si="1"/>
        <v/>
      </c>
      <c r="N15" s="26" t="str">
        <f t="shared" si="1"/>
        <v/>
      </c>
      <c r="O15" s="26" t="str">
        <f t="shared" si="1"/>
        <v/>
      </c>
      <c r="P15" s="26" t="str">
        <f t="shared" si="1"/>
        <v/>
      </c>
      <c r="Q15" s="26" t="str">
        <f t="shared" si="1"/>
        <v/>
      </c>
      <c r="R15" s="26" t="str">
        <f t="shared" si="1"/>
        <v/>
      </c>
      <c r="S15" s="26" t="str">
        <f t="shared" si="1"/>
        <v/>
      </c>
      <c r="T15" s="26" t="str">
        <f t="shared" si="1"/>
        <v/>
      </c>
      <c r="U15" s="26" t="str">
        <f t="shared" si="1"/>
        <v/>
      </c>
      <c r="V15" s="26" t="str">
        <f t="shared" ref="V15:AC22" si="6">IF($E15="",IF(COUNTIF($D15,V$2),V$1,""),IF(COUNTIF($E15,V$2),V$1,""))</f>
        <v/>
      </c>
      <c r="W15" s="26" t="str">
        <f t="shared" si="6"/>
        <v/>
      </c>
      <c r="X15" s="26" t="str">
        <f t="shared" si="6"/>
        <v/>
      </c>
      <c r="Y15" s="26" t="str">
        <f t="shared" si="6"/>
        <v/>
      </c>
      <c r="Z15" s="26" t="str">
        <f t="shared" si="6"/>
        <v/>
      </c>
      <c r="AA15" s="26" t="str">
        <f t="shared" si="6"/>
        <v/>
      </c>
      <c r="AB15" s="26" t="str">
        <f t="shared" si="6"/>
        <v/>
      </c>
      <c r="AC15" s="26" t="str">
        <f t="shared" si="6"/>
        <v/>
      </c>
      <c r="AD15" s="78" t="str">
        <f t="array" aca="1" ref="AD15" ca="1">IF(SMALL(IF(($F15:$AC15&lt;&gt;""),COLUMN($F15:$AC15),999),COLUMN(A:A))=999,"",OFFSET($F15,0,SMALL(IF(($F15:$AC15&lt;&gt;""),COLUMN($F15:$AC15),999),COLUMN(A:A))-6))</f>
        <v/>
      </c>
      <c r="AE15" s="78" t="str">
        <f t="array" aca="1" ref="AE15" ca="1">IF(SMALL(IF(($F15:$AC15&lt;&gt;""),COLUMN($F15:$AC15),999),COLUMN(B:B))=999,"",OFFSET($F15,0,SMALL(IF(($F15:$AC15&lt;&gt;""),COLUMN($F15:$AC15),999),COLUMN(B:B))-6))</f>
        <v/>
      </c>
      <c r="AF15" s="78" t="str">
        <f t="array" aca="1" ref="AF15" ca="1">IF(SMALL(IF(($F15:$AC15&lt;&gt;""),COLUMN($F15:$AC15),999),COLUMN(C:C))=999,"",OFFSET($F15,0,SMALL(IF(($F15:$AC15&lt;&gt;""),COLUMN($F15:$AC15),999),COLUMN(C:C))-6))</f>
        <v/>
      </c>
      <c r="AG15" s="78" t="str">
        <f t="array" aca="1" ref="AG15" ca="1">IF(SMALL(IF(($F15:$AC15&lt;&gt;""),COLUMN($F15:$AC15),999),COLUMN(D:D))=999,"",OFFSET($F15,0,SMALL(IF(($F15:$AC15&lt;&gt;""),COLUMN($F15:$AC15),999),COLUMN(D:D))-6))</f>
        <v/>
      </c>
      <c r="AH15" s="78" t="str">
        <f t="array" aca="1" ref="AH15" ca="1">IF(SMALL(IF(($F15:$AC15&lt;&gt;""),COLUMN($F15:$AC15),999),COLUMN(E:E))=999,"",OFFSET($F15,0,SMALL(IF(($F15:$AC15&lt;&gt;""),COLUMN($F15:$AC15),999),COLUMN(E:E))-6))</f>
        <v/>
      </c>
      <c r="AI15" s="78" t="str">
        <f t="array" aca="1" ref="AI15" ca="1">IF(SMALL(IF(($F15:$AC15&lt;&gt;""),COLUMN($F15:$AC15),999),COLUMN(F:F))=999,"",OFFSET($F15,0,SMALL(IF(($F15:$AC15&lt;&gt;""),COLUMN($F15:$AC15),999),COLUMN(F:F))-6))</f>
        <v/>
      </c>
      <c r="AJ15" s="78" t="str">
        <f t="array" aca="1" ref="AJ15" ca="1">IF(SMALL(IF(($F15:$AC15&lt;&gt;""),COLUMN($F15:$AC15),999),COLUMN(G:G))=999,"",OFFSET($F15,0,SMALL(IF(($F15:$AC15&lt;&gt;""),COLUMN($F15:$AC15),999),COLUMN(G:G))-6))</f>
        <v/>
      </c>
      <c r="AK15" s="78" t="str">
        <f t="array" aca="1" ref="AK15" ca="1">IF(SMALL(IF(($F15:$AC15&lt;&gt;""),COLUMN($F15:$AC15),999),COLUMN(H:H))=999,"",OFFSET($F15,0,SMALL(IF(($F15:$AC15&lt;&gt;""),COLUMN($F15:$AC15),999),COLUMN(H:H))-6))</f>
        <v/>
      </c>
      <c r="AL15" s="78" t="str">
        <f t="array" aca="1" ref="AL15" ca="1">IF(SMALL(IF(($F15:$AC15&lt;&gt;""),COLUMN($F15:$AC15),999),COLUMN(I:I))=999,"",OFFSET($F15,0,SMALL(IF(($F15:$AC15&lt;&gt;""),COLUMN($F15:$AC15),999),COLUMN(I:I))-6))</f>
        <v/>
      </c>
      <c r="AM15" s="78" t="str">
        <f t="array" aca="1" ref="AM15" ca="1">IF(SMALL(IF(($F15:$AC15&lt;&gt;""),COLUMN($F15:$AC15),999),COLUMN(J:J))=999,"",OFFSET($F15,0,SMALL(IF(($F15:$AC15&lt;&gt;""),COLUMN($F15:$AC15),999),COLUMN(J:J))-6))</f>
        <v/>
      </c>
      <c r="AN15" s="78" t="str">
        <f t="array" aca="1" ref="AN15" ca="1">IF(SMALL(IF(($F15:$AC15&lt;&gt;""),COLUMN($F15:$AC15),999),COLUMN(K:K))=999,"",OFFSET($F15,0,SMALL(IF(($F15:$AC15&lt;&gt;""),COLUMN($F15:$AC15),999),COLUMN(K:K))-6))</f>
        <v/>
      </c>
      <c r="AO15" s="78" t="str">
        <f t="array" aca="1" ref="AO15" ca="1">IF(SMALL(IF(($F15:$AC15&lt;&gt;""),COLUMN($F15:$AC15),999),COLUMN(L:L))=999,"",OFFSET($F15,0,SMALL(IF(($F15:$AC15&lt;&gt;""),COLUMN($F15:$AC15),999),COLUMN(L:L))-6))</f>
        <v/>
      </c>
      <c r="AP15" s="78" t="str">
        <f t="array" aca="1" ref="AP15" ca="1">IF(SMALL(IF(($F15:$AC15&lt;&gt;""),COLUMN($F15:$AC15),999),COLUMN(M:M))=999,"",OFFSET($F15,0,SMALL(IF(($F15:$AC15&lt;&gt;""),COLUMN($F15:$AC15),999),COLUMN(M:M))-6))</f>
        <v/>
      </c>
      <c r="AQ15" s="78" t="str">
        <f t="array" aca="1" ref="AQ15" ca="1">IF(SMALL(IF(($F15:$AC15&lt;&gt;""),COLUMN($F15:$AC15),999),COLUMN(N:N))=999,"",OFFSET($F15,0,SMALL(IF(($F15:$AC15&lt;&gt;""),COLUMN($F15:$AC15),999),COLUMN(N:N))-6))</f>
        <v/>
      </c>
      <c r="AR15" s="78" t="str">
        <f t="array" aca="1" ref="AR15" ca="1">IF(SMALL(IF(($F15:$AC15&lt;&gt;""),COLUMN($F15:$AC15),999),COLUMN(O:O))=999,"",OFFSET($F15,0,SMALL(IF(($F15:$AC15&lt;&gt;""),COLUMN($F15:$AC15),999),COLUMN(O:O))-6))</f>
        <v/>
      </c>
      <c r="AS15" s="78" t="str">
        <f t="array" aca="1" ref="AS15" ca="1">IF(SMALL(IF(($F15:$AC15&lt;&gt;""),COLUMN($F15:$AC15),999),COLUMN(P:P))=999,"",OFFSET($F15,0,SMALL(IF(($F15:$AC15&lt;&gt;""),COLUMN($F15:$AC15),999),COLUMN(P:P))-6))</f>
        <v/>
      </c>
      <c r="AT15" s="78" t="str">
        <f t="array" aca="1" ref="AT15" ca="1">IF(SMALL(IF(($F15:$AC15&lt;&gt;""),COLUMN($F15:$AC15),999),COLUMN(Q:Q))=999,"",OFFSET($F15,0,SMALL(IF(($F15:$AC15&lt;&gt;""),COLUMN($F15:$AC15),999),COLUMN(Q:Q))-6))</f>
        <v/>
      </c>
      <c r="AU15" s="78" t="str">
        <f t="array" aca="1" ref="AU15" ca="1">IF(SMALL(IF(($F15:$AC15&lt;&gt;""),COLUMN($F15:$AC15),999),COLUMN(R:R))=999,"",OFFSET($F15,0,SMALL(IF(($F15:$AC15&lt;&gt;""),COLUMN($F15:$AC15),999),COLUMN(R:R))-6))</f>
        <v/>
      </c>
      <c r="AV15" s="78" t="str">
        <f t="array" aca="1" ref="AV15" ca="1">IF(SMALL(IF(($F15:$AC15&lt;&gt;""),COLUMN($F15:$AC15),999),COLUMN(S:S))=999,"",OFFSET($F15,0,SMALL(IF(($F15:$AC15&lt;&gt;""),COLUMN($F15:$AC15),999),COLUMN(S:S))-6))</f>
        <v/>
      </c>
      <c r="AW15" s="78" t="str">
        <f t="array" aca="1" ref="AW15" ca="1">IF(SMALL(IF(($F15:$AC15&lt;&gt;""),COLUMN($F15:$AC15),999),COLUMN(T:T))=999,"",OFFSET($F15,0,SMALL(IF(($F15:$AC15&lt;&gt;""),COLUMN($F15:$AC15),999),COLUMN(T:T))-6))</f>
        <v/>
      </c>
      <c r="AX15" s="78" t="str">
        <f t="array" aca="1" ref="AX15" ca="1">IF(SMALL(IF(($F15:$AC15&lt;&gt;""),COLUMN($F15:$AC15),999),COLUMN(U:U))=999,"",OFFSET($F15,0,SMALL(IF(($F15:$AC15&lt;&gt;""),COLUMN($F15:$AC15),999),COLUMN(U:U))-6))</f>
        <v/>
      </c>
      <c r="AY15" s="78" t="str">
        <f t="array" aca="1" ref="AY15" ca="1">IF(SMALL(IF(($F15:$AC15&lt;&gt;""),COLUMN($F15:$AC15),999),COLUMN(V:V))=999,"",OFFSET($F15,0,SMALL(IF(($F15:$AC15&lt;&gt;""),COLUMN($F15:$AC15),999),COLUMN(V:V))-6))</f>
        <v/>
      </c>
      <c r="AZ15" s="78" t="str">
        <f t="array" aca="1" ref="AZ15" ca="1">IF(SMALL(IF(($F15:$AC15&lt;&gt;""),COLUMN($F15:$AC15),999),COLUMN(W:W))=999,"",OFFSET($F15,0,SMALL(IF(($F15:$AC15&lt;&gt;""),COLUMN($F15:$AC15),999),COLUMN(W:W))-6))</f>
        <v/>
      </c>
      <c r="BA15" s="78" t="str">
        <f t="array" aca="1" ref="BA15" ca="1">IF(SMALL(IF(($F15:$AC15&lt;&gt;""),COLUMN($F15:$AC15),999),COLUMN(X:X))=999,"",OFFSET($F15,0,SMALL(IF(($F15:$AC15&lt;&gt;""),COLUMN($F15:$AC15),999),COLUMN(X:X))-6))</f>
        <v/>
      </c>
    </row>
    <row r="16" spans="1:53" ht="26.45" customHeight="1" x14ac:dyDescent="0.25">
      <c r="A16" s="83">
        <v>14</v>
      </c>
      <c r="B16" s="80"/>
      <c r="C16" s="86" t="str">
        <f t="array" ref="C16">IFERROR(INDEX(job_name,MATCH(B16,FMS_Job,0)),"--")</f>
        <v>--</v>
      </c>
      <c r="D16" s="86" t="str">
        <f t="array" ref="D16">IFERROR(INDEX(Lab_Reference,MATCH(B16,FMS_Job,0)),"--")</f>
        <v>--</v>
      </c>
      <c r="E16" s="291"/>
      <c r="F16" s="26" t="str">
        <f t="shared" si="0"/>
        <v/>
      </c>
      <c r="G16" s="26" t="str">
        <f t="shared" ref="G16:U22" si="7">IF($E16="",IF(COUNTIF($D16,G$2),G$1,""),IF(COUNTIF($E16,G$2),G$1,""))</f>
        <v/>
      </c>
      <c r="H16" s="26" t="str">
        <f t="shared" si="7"/>
        <v/>
      </c>
      <c r="I16" s="26" t="str">
        <f t="shared" si="7"/>
        <v/>
      </c>
      <c r="J16" s="26" t="str">
        <f t="shared" si="7"/>
        <v/>
      </c>
      <c r="K16" s="26" t="str">
        <f t="shared" si="7"/>
        <v/>
      </c>
      <c r="L16" s="26" t="str">
        <f t="shared" si="3"/>
        <v/>
      </c>
      <c r="M16" s="26" t="str">
        <f t="shared" si="7"/>
        <v/>
      </c>
      <c r="N16" s="26" t="str">
        <f t="shared" si="7"/>
        <v/>
      </c>
      <c r="O16" s="26" t="str">
        <f t="shared" si="7"/>
        <v/>
      </c>
      <c r="P16" s="26" t="str">
        <f t="shared" si="7"/>
        <v/>
      </c>
      <c r="Q16" s="26" t="str">
        <f t="shared" si="7"/>
        <v/>
      </c>
      <c r="R16" s="26" t="str">
        <f t="shared" si="7"/>
        <v/>
      </c>
      <c r="S16" s="26" t="str">
        <f t="shared" si="7"/>
        <v/>
      </c>
      <c r="T16" s="26" t="str">
        <f t="shared" si="7"/>
        <v/>
      </c>
      <c r="U16" s="26" t="str">
        <f t="shared" si="7"/>
        <v/>
      </c>
      <c r="V16" s="26" t="str">
        <f t="shared" si="6"/>
        <v/>
      </c>
      <c r="W16" s="26" t="str">
        <f t="shared" si="6"/>
        <v/>
      </c>
      <c r="X16" s="26" t="str">
        <f t="shared" si="6"/>
        <v/>
      </c>
      <c r="Y16" s="26" t="str">
        <f t="shared" si="6"/>
        <v/>
      </c>
      <c r="Z16" s="26" t="str">
        <f t="shared" si="6"/>
        <v/>
      </c>
      <c r="AA16" s="26" t="str">
        <f t="shared" si="6"/>
        <v/>
      </c>
      <c r="AB16" s="26" t="str">
        <f t="shared" si="6"/>
        <v/>
      </c>
      <c r="AC16" s="26" t="str">
        <f t="shared" si="6"/>
        <v/>
      </c>
      <c r="AD16" s="78" t="str">
        <f t="array" aca="1" ref="AD16" ca="1">IF(SMALL(IF(($F16:$AC16&lt;&gt;""),COLUMN($F16:$AC16),999),COLUMN(A:A))=999,"",OFFSET($F16,0,SMALL(IF(($F16:$AC16&lt;&gt;""),COLUMN($F16:$AC16),999),COLUMN(A:A))-6))</f>
        <v/>
      </c>
      <c r="AE16" s="78" t="str">
        <f t="array" aca="1" ref="AE16" ca="1">IF(SMALL(IF(($F16:$AC16&lt;&gt;""),COLUMN($F16:$AC16),999),COLUMN(B:B))=999,"",OFFSET($F16,0,SMALL(IF(($F16:$AC16&lt;&gt;""),COLUMN($F16:$AC16),999),COLUMN(B:B))-6))</f>
        <v/>
      </c>
      <c r="AF16" s="78" t="str">
        <f t="array" aca="1" ref="AF16" ca="1">IF(SMALL(IF(($F16:$AC16&lt;&gt;""),COLUMN($F16:$AC16),999),COLUMN(C:C))=999,"",OFFSET($F16,0,SMALL(IF(($F16:$AC16&lt;&gt;""),COLUMN($F16:$AC16),999),COLUMN(C:C))-6))</f>
        <v/>
      </c>
      <c r="AG16" s="78" t="str">
        <f t="array" aca="1" ref="AG16" ca="1">IF(SMALL(IF(($F16:$AC16&lt;&gt;""),COLUMN($F16:$AC16),999),COLUMN(D:D))=999,"",OFFSET($F16,0,SMALL(IF(($F16:$AC16&lt;&gt;""),COLUMN($F16:$AC16),999),COLUMN(D:D))-6))</f>
        <v/>
      </c>
      <c r="AH16" s="78" t="str">
        <f t="array" aca="1" ref="AH16" ca="1">IF(SMALL(IF(($F16:$AC16&lt;&gt;""),COLUMN($F16:$AC16),999),COLUMN(E:E))=999,"",OFFSET($F16,0,SMALL(IF(($F16:$AC16&lt;&gt;""),COLUMN($F16:$AC16),999),COLUMN(E:E))-6))</f>
        <v/>
      </c>
      <c r="AI16" s="78" t="str">
        <f t="array" aca="1" ref="AI16" ca="1">IF(SMALL(IF(($F16:$AC16&lt;&gt;""),COLUMN($F16:$AC16),999),COLUMN(F:F))=999,"",OFFSET($F16,0,SMALL(IF(($F16:$AC16&lt;&gt;""),COLUMN($F16:$AC16),999),COLUMN(F:F))-6))</f>
        <v/>
      </c>
      <c r="AJ16" s="78" t="str">
        <f t="array" aca="1" ref="AJ16" ca="1">IF(SMALL(IF(($F16:$AC16&lt;&gt;""),COLUMN($F16:$AC16),999),COLUMN(G:G))=999,"",OFFSET($F16,0,SMALL(IF(($F16:$AC16&lt;&gt;""),COLUMN($F16:$AC16),999),COLUMN(G:G))-6))</f>
        <v/>
      </c>
      <c r="AK16" s="78" t="str">
        <f t="array" aca="1" ref="AK16" ca="1">IF(SMALL(IF(($F16:$AC16&lt;&gt;""),COLUMN($F16:$AC16),999),COLUMN(H:H))=999,"",OFFSET($F16,0,SMALL(IF(($F16:$AC16&lt;&gt;""),COLUMN($F16:$AC16),999),COLUMN(H:H))-6))</f>
        <v/>
      </c>
      <c r="AL16" s="78" t="str">
        <f t="array" aca="1" ref="AL16" ca="1">IF(SMALL(IF(($F16:$AC16&lt;&gt;""),COLUMN($F16:$AC16),999),COLUMN(I:I))=999,"",OFFSET($F16,0,SMALL(IF(($F16:$AC16&lt;&gt;""),COLUMN($F16:$AC16),999),COLUMN(I:I))-6))</f>
        <v/>
      </c>
      <c r="AM16" s="78" t="str">
        <f t="array" aca="1" ref="AM16" ca="1">IF(SMALL(IF(($F16:$AC16&lt;&gt;""),COLUMN($F16:$AC16),999),COLUMN(J:J))=999,"",OFFSET($F16,0,SMALL(IF(($F16:$AC16&lt;&gt;""),COLUMN($F16:$AC16),999),COLUMN(J:J))-6))</f>
        <v/>
      </c>
      <c r="AN16" s="78" t="str">
        <f t="array" aca="1" ref="AN16" ca="1">IF(SMALL(IF(($F16:$AC16&lt;&gt;""),COLUMN($F16:$AC16),999),COLUMN(K:K))=999,"",OFFSET($F16,0,SMALL(IF(($F16:$AC16&lt;&gt;""),COLUMN($F16:$AC16),999),COLUMN(K:K))-6))</f>
        <v/>
      </c>
      <c r="AO16" s="78" t="str">
        <f t="array" aca="1" ref="AO16" ca="1">IF(SMALL(IF(($F16:$AC16&lt;&gt;""),COLUMN($F16:$AC16),999),COLUMN(L:L))=999,"",OFFSET($F16,0,SMALL(IF(($F16:$AC16&lt;&gt;""),COLUMN($F16:$AC16),999),COLUMN(L:L))-6))</f>
        <v/>
      </c>
      <c r="AP16" s="78" t="str">
        <f t="array" aca="1" ref="AP16" ca="1">IF(SMALL(IF(($F16:$AC16&lt;&gt;""),COLUMN($F16:$AC16),999),COLUMN(M:M))=999,"",OFFSET($F16,0,SMALL(IF(($F16:$AC16&lt;&gt;""),COLUMN($F16:$AC16),999),COLUMN(M:M))-6))</f>
        <v/>
      </c>
      <c r="AQ16" s="78" t="str">
        <f t="array" aca="1" ref="AQ16" ca="1">IF(SMALL(IF(($F16:$AC16&lt;&gt;""),COLUMN($F16:$AC16),999),COLUMN(N:N))=999,"",OFFSET($F16,0,SMALL(IF(($F16:$AC16&lt;&gt;""),COLUMN($F16:$AC16),999),COLUMN(N:N))-6))</f>
        <v/>
      </c>
      <c r="AR16" s="78" t="str">
        <f t="array" aca="1" ref="AR16" ca="1">IF(SMALL(IF(($F16:$AC16&lt;&gt;""),COLUMN($F16:$AC16),999),COLUMN(O:O))=999,"",OFFSET($F16,0,SMALL(IF(($F16:$AC16&lt;&gt;""),COLUMN($F16:$AC16),999),COLUMN(O:O))-6))</f>
        <v/>
      </c>
      <c r="AS16" s="78" t="str">
        <f t="array" aca="1" ref="AS16" ca="1">IF(SMALL(IF(($F16:$AC16&lt;&gt;""),COLUMN($F16:$AC16),999),COLUMN(P:P))=999,"",OFFSET($F16,0,SMALL(IF(($F16:$AC16&lt;&gt;""),COLUMN($F16:$AC16),999),COLUMN(P:P))-6))</f>
        <v/>
      </c>
      <c r="AT16" s="78" t="str">
        <f t="array" aca="1" ref="AT16" ca="1">IF(SMALL(IF(($F16:$AC16&lt;&gt;""),COLUMN($F16:$AC16),999),COLUMN(Q:Q))=999,"",OFFSET($F16,0,SMALL(IF(($F16:$AC16&lt;&gt;""),COLUMN($F16:$AC16),999),COLUMN(Q:Q))-6))</f>
        <v/>
      </c>
      <c r="AU16" s="78" t="str">
        <f t="array" aca="1" ref="AU16" ca="1">IF(SMALL(IF(($F16:$AC16&lt;&gt;""),COLUMN($F16:$AC16),999),COLUMN(R:R))=999,"",OFFSET($F16,0,SMALL(IF(($F16:$AC16&lt;&gt;""),COLUMN($F16:$AC16),999),COLUMN(R:R))-6))</f>
        <v/>
      </c>
      <c r="AV16" s="78" t="str">
        <f t="array" aca="1" ref="AV16" ca="1">IF(SMALL(IF(($F16:$AC16&lt;&gt;""),COLUMN($F16:$AC16),999),COLUMN(S:S))=999,"",OFFSET($F16,0,SMALL(IF(($F16:$AC16&lt;&gt;""),COLUMN($F16:$AC16),999),COLUMN(S:S))-6))</f>
        <v/>
      </c>
      <c r="AW16" s="78" t="str">
        <f t="array" aca="1" ref="AW16" ca="1">IF(SMALL(IF(($F16:$AC16&lt;&gt;""),COLUMN($F16:$AC16),999),COLUMN(T:T))=999,"",OFFSET($F16,0,SMALL(IF(($F16:$AC16&lt;&gt;""),COLUMN($F16:$AC16),999),COLUMN(T:T))-6))</f>
        <v/>
      </c>
      <c r="AX16" s="78" t="str">
        <f t="array" aca="1" ref="AX16" ca="1">IF(SMALL(IF(($F16:$AC16&lt;&gt;""),COLUMN($F16:$AC16),999),COLUMN(U:U))=999,"",OFFSET($F16,0,SMALL(IF(($F16:$AC16&lt;&gt;""),COLUMN($F16:$AC16),999),COLUMN(U:U))-6))</f>
        <v/>
      </c>
      <c r="AY16" s="78" t="str">
        <f t="array" aca="1" ref="AY16" ca="1">IF(SMALL(IF(($F16:$AC16&lt;&gt;""),COLUMN($F16:$AC16),999),COLUMN(V:V))=999,"",OFFSET($F16,0,SMALL(IF(($F16:$AC16&lt;&gt;""),COLUMN($F16:$AC16),999),COLUMN(V:V))-6))</f>
        <v/>
      </c>
      <c r="AZ16" s="78" t="str">
        <f t="array" aca="1" ref="AZ16" ca="1">IF(SMALL(IF(($F16:$AC16&lt;&gt;""),COLUMN($F16:$AC16),999),COLUMN(W:W))=999,"",OFFSET($F16,0,SMALL(IF(($F16:$AC16&lt;&gt;""),COLUMN($F16:$AC16),999),COLUMN(W:W))-6))</f>
        <v/>
      </c>
      <c r="BA16" s="78" t="str">
        <f t="array" aca="1" ref="BA16" ca="1">IF(SMALL(IF(($F16:$AC16&lt;&gt;""),COLUMN($F16:$AC16),999),COLUMN(X:X))=999,"",OFFSET($F16,0,SMALL(IF(($F16:$AC16&lt;&gt;""),COLUMN($F16:$AC16),999),COLUMN(X:X))-6))</f>
        <v/>
      </c>
    </row>
    <row r="17" spans="1:53" ht="26.45" customHeight="1" x14ac:dyDescent="0.25">
      <c r="A17" s="83">
        <v>15</v>
      </c>
      <c r="B17" s="80"/>
      <c r="C17" s="86" t="str">
        <f t="array" ref="C17">IFERROR(INDEX(job_name,MATCH(B17,FMS_Job,0)),"--")</f>
        <v>--</v>
      </c>
      <c r="D17" s="86" t="str">
        <f t="array" ref="D17">IFERROR(INDEX(Lab_Reference,MATCH(B17,FMS_Job,0)),"--")</f>
        <v>--</v>
      </c>
      <c r="E17" s="291"/>
      <c r="F17" s="26" t="str">
        <f t="shared" si="0"/>
        <v/>
      </c>
      <c r="G17" s="26" t="str">
        <f t="shared" si="7"/>
        <v/>
      </c>
      <c r="H17" s="26" t="str">
        <f t="shared" si="7"/>
        <v/>
      </c>
      <c r="I17" s="26" t="str">
        <f t="shared" si="7"/>
        <v/>
      </c>
      <c r="J17" s="26" t="str">
        <f t="shared" si="7"/>
        <v/>
      </c>
      <c r="K17" s="26" t="str">
        <f t="shared" si="7"/>
        <v/>
      </c>
      <c r="L17" s="26" t="str">
        <f t="shared" si="3"/>
        <v/>
      </c>
      <c r="M17" s="26" t="str">
        <f t="shared" si="7"/>
        <v/>
      </c>
      <c r="N17" s="26" t="str">
        <f t="shared" si="7"/>
        <v/>
      </c>
      <c r="O17" s="26" t="str">
        <f t="shared" si="7"/>
        <v/>
      </c>
      <c r="P17" s="26" t="str">
        <f t="shared" si="7"/>
        <v/>
      </c>
      <c r="Q17" s="26" t="str">
        <f t="shared" si="7"/>
        <v/>
      </c>
      <c r="R17" s="26" t="str">
        <f t="shared" si="7"/>
        <v/>
      </c>
      <c r="S17" s="26" t="str">
        <f t="shared" si="7"/>
        <v/>
      </c>
      <c r="T17" s="26" t="str">
        <f t="shared" si="7"/>
        <v/>
      </c>
      <c r="U17" s="26" t="str">
        <f t="shared" si="7"/>
        <v/>
      </c>
      <c r="V17" s="26" t="str">
        <f t="shared" si="6"/>
        <v/>
      </c>
      <c r="W17" s="26" t="str">
        <f t="shared" si="6"/>
        <v/>
      </c>
      <c r="X17" s="26" t="str">
        <f t="shared" si="6"/>
        <v/>
      </c>
      <c r="Y17" s="26" t="str">
        <f t="shared" si="6"/>
        <v/>
      </c>
      <c r="Z17" s="26" t="str">
        <f t="shared" si="6"/>
        <v/>
      </c>
      <c r="AA17" s="26" t="str">
        <f t="shared" si="6"/>
        <v/>
      </c>
      <c r="AB17" s="26" t="str">
        <f t="shared" si="6"/>
        <v/>
      </c>
      <c r="AC17" s="26" t="str">
        <f t="shared" si="6"/>
        <v/>
      </c>
      <c r="AD17" s="78" t="str">
        <f t="array" aca="1" ref="AD17" ca="1">IF(SMALL(IF(($F17:$AC17&lt;&gt;""),COLUMN($F17:$AC17),999),COLUMN(A:A))=999,"",OFFSET($F17,0,SMALL(IF(($F17:$AC17&lt;&gt;""),COLUMN($F17:$AC17),999),COLUMN(A:A))-6))</f>
        <v/>
      </c>
      <c r="AE17" s="78" t="str">
        <f t="array" aca="1" ref="AE17" ca="1">IF(SMALL(IF(($F17:$AC17&lt;&gt;""),COLUMN($F17:$AC17),999),COLUMN(B:B))=999,"",OFFSET($F17,0,SMALL(IF(($F17:$AC17&lt;&gt;""),COLUMN($F17:$AC17),999),COLUMN(B:B))-6))</f>
        <v/>
      </c>
      <c r="AF17" s="78" t="str">
        <f t="array" aca="1" ref="AF17" ca="1">IF(SMALL(IF(($F17:$AC17&lt;&gt;""),COLUMN($F17:$AC17),999),COLUMN(C:C))=999,"",OFFSET($F17,0,SMALL(IF(($F17:$AC17&lt;&gt;""),COLUMN($F17:$AC17),999),COLUMN(C:C))-6))</f>
        <v/>
      </c>
      <c r="AG17" s="78" t="str">
        <f t="array" aca="1" ref="AG17" ca="1">IF(SMALL(IF(($F17:$AC17&lt;&gt;""),COLUMN($F17:$AC17),999),COLUMN(D:D))=999,"",OFFSET($F17,0,SMALL(IF(($F17:$AC17&lt;&gt;""),COLUMN($F17:$AC17),999),COLUMN(D:D))-6))</f>
        <v/>
      </c>
      <c r="AH17" s="78" t="str">
        <f t="array" aca="1" ref="AH17" ca="1">IF(SMALL(IF(($F17:$AC17&lt;&gt;""),COLUMN($F17:$AC17),999),COLUMN(E:E))=999,"",OFFSET($F17,0,SMALL(IF(($F17:$AC17&lt;&gt;""),COLUMN($F17:$AC17),999),COLUMN(E:E))-6))</f>
        <v/>
      </c>
      <c r="AI17" s="78" t="str">
        <f t="array" aca="1" ref="AI17" ca="1">IF(SMALL(IF(($F17:$AC17&lt;&gt;""),COLUMN($F17:$AC17),999),COLUMN(F:F))=999,"",OFFSET($F17,0,SMALL(IF(($F17:$AC17&lt;&gt;""),COLUMN($F17:$AC17),999),COLUMN(F:F))-6))</f>
        <v/>
      </c>
      <c r="AJ17" s="78" t="str">
        <f t="array" aca="1" ref="AJ17" ca="1">IF(SMALL(IF(($F17:$AC17&lt;&gt;""),COLUMN($F17:$AC17),999),COLUMN(G:G))=999,"",OFFSET($F17,0,SMALL(IF(($F17:$AC17&lt;&gt;""),COLUMN($F17:$AC17),999),COLUMN(G:G))-6))</f>
        <v/>
      </c>
      <c r="AK17" s="78" t="str">
        <f t="array" aca="1" ref="AK17" ca="1">IF(SMALL(IF(($F17:$AC17&lt;&gt;""),COLUMN($F17:$AC17),999),COLUMN(H:H))=999,"",OFFSET($F17,0,SMALL(IF(($F17:$AC17&lt;&gt;""),COLUMN($F17:$AC17),999),COLUMN(H:H))-6))</f>
        <v/>
      </c>
      <c r="AL17" s="78" t="str">
        <f t="array" aca="1" ref="AL17" ca="1">IF(SMALL(IF(($F17:$AC17&lt;&gt;""),COLUMN($F17:$AC17),999),COLUMN(I:I))=999,"",OFFSET($F17,0,SMALL(IF(($F17:$AC17&lt;&gt;""),COLUMN($F17:$AC17),999),COLUMN(I:I))-6))</f>
        <v/>
      </c>
      <c r="AM17" s="78" t="str">
        <f t="array" aca="1" ref="AM17" ca="1">IF(SMALL(IF(($F17:$AC17&lt;&gt;""),COLUMN($F17:$AC17),999),COLUMN(J:J))=999,"",OFFSET($F17,0,SMALL(IF(($F17:$AC17&lt;&gt;""),COLUMN($F17:$AC17),999),COLUMN(J:J))-6))</f>
        <v/>
      </c>
      <c r="AN17" s="78" t="str">
        <f t="array" aca="1" ref="AN17" ca="1">IF(SMALL(IF(($F17:$AC17&lt;&gt;""),COLUMN($F17:$AC17),999),COLUMN(K:K))=999,"",OFFSET($F17,0,SMALL(IF(($F17:$AC17&lt;&gt;""),COLUMN($F17:$AC17),999),COLUMN(K:K))-6))</f>
        <v/>
      </c>
      <c r="AO17" s="78" t="str">
        <f t="array" aca="1" ref="AO17" ca="1">IF(SMALL(IF(($F17:$AC17&lt;&gt;""),COLUMN($F17:$AC17),999),COLUMN(L:L))=999,"",OFFSET($F17,0,SMALL(IF(($F17:$AC17&lt;&gt;""),COLUMN($F17:$AC17),999),COLUMN(L:L))-6))</f>
        <v/>
      </c>
      <c r="AP17" s="78" t="str">
        <f t="array" aca="1" ref="AP17" ca="1">IF(SMALL(IF(($F17:$AC17&lt;&gt;""),COLUMN($F17:$AC17),999),COLUMN(M:M))=999,"",OFFSET($F17,0,SMALL(IF(($F17:$AC17&lt;&gt;""),COLUMN($F17:$AC17),999),COLUMN(M:M))-6))</f>
        <v/>
      </c>
      <c r="AQ17" s="78" t="str">
        <f t="array" aca="1" ref="AQ17" ca="1">IF(SMALL(IF(($F17:$AC17&lt;&gt;""),COLUMN($F17:$AC17),999),COLUMN(N:N))=999,"",OFFSET($F17,0,SMALL(IF(($F17:$AC17&lt;&gt;""),COLUMN($F17:$AC17),999),COLUMN(N:N))-6))</f>
        <v/>
      </c>
      <c r="AR17" s="78" t="str">
        <f t="array" aca="1" ref="AR17" ca="1">IF(SMALL(IF(($F17:$AC17&lt;&gt;""),COLUMN($F17:$AC17),999),COLUMN(O:O))=999,"",OFFSET($F17,0,SMALL(IF(($F17:$AC17&lt;&gt;""),COLUMN($F17:$AC17),999),COLUMN(O:O))-6))</f>
        <v/>
      </c>
      <c r="AS17" s="78" t="str">
        <f t="array" aca="1" ref="AS17" ca="1">IF(SMALL(IF(($F17:$AC17&lt;&gt;""),COLUMN($F17:$AC17),999),COLUMN(P:P))=999,"",OFFSET($F17,0,SMALL(IF(($F17:$AC17&lt;&gt;""),COLUMN($F17:$AC17),999),COLUMN(P:P))-6))</f>
        <v/>
      </c>
      <c r="AT17" s="78" t="str">
        <f t="array" aca="1" ref="AT17" ca="1">IF(SMALL(IF(($F17:$AC17&lt;&gt;""),COLUMN($F17:$AC17),999),COLUMN(Q:Q))=999,"",OFFSET($F17,0,SMALL(IF(($F17:$AC17&lt;&gt;""),COLUMN($F17:$AC17),999),COLUMN(Q:Q))-6))</f>
        <v/>
      </c>
      <c r="AU17" s="78" t="str">
        <f t="array" aca="1" ref="AU17" ca="1">IF(SMALL(IF(($F17:$AC17&lt;&gt;""),COLUMN($F17:$AC17),999),COLUMN(R:R))=999,"",OFFSET($F17,0,SMALL(IF(($F17:$AC17&lt;&gt;""),COLUMN($F17:$AC17),999),COLUMN(R:R))-6))</f>
        <v/>
      </c>
      <c r="AV17" s="78" t="str">
        <f t="array" aca="1" ref="AV17" ca="1">IF(SMALL(IF(($F17:$AC17&lt;&gt;""),COLUMN($F17:$AC17),999),COLUMN(S:S))=999,"",OFFSET($F17,0,SMALL(IF(($F17:$AC17&lt;&gt;""),COLUMN($F17:$AC17),999),COLUMN(S:S))-6))</f>
        <v/>
      </c>
      <c r="AW17" s="78" t="str">
        <f t="array" aca="1" ref="AW17" ca="1">IF(SMALL(IF(($F17:$AC17&lt;&gt;""),COLUMN($F17:$AC17),999),COLUMN(T:T))=999,"",OFFSET($F17,0,SMALL(IF(($F17:$AC17&lt;&gt;""),COLUMN($F17:$AC17),999),COLUMN(T:T))-6))</f>
        <v/>
      </c>
      <c r="AX17" s="78" t="str">
        <f t="array" aca="1" ref="AX17" ca="1">IF(SMALL(IF(($F17:$AC17&lt;&gt;""),COLUMN($F17:$AC17),999),COLUMN(U:U))=999,"",OFFSET($F17,0,SMALL(IF(($F17:$AC17&lt;&gt;""),COLUMN($F17:$AC17),999),COLUMN(U:U))-6))</f>
        <v/>
      </c>
      <c r="AY17" s="78" t="str">
        <f t="array" aca="1" ref="AY17" ca="1">IF(SMALL(IF(($F17:$AC17&lt;&gt;""),COLUMN($F17:$AC17),999),COLUMN(V:V))=999,"",OFFSET($F17,0,SMALL(IF(($F17:$AC17&lt;&gt;""),COLUMN($F17:$AC17),999),COLUMN(V:V))-6))</f>
        <v/>
      </c>
      <c r="AZ17" s="78" t="str">
        <f t="array" aca="1" ref="AZ17" ca="1">IF(SMALL(IF(($F17:$AC17&lt;&gt;""),COLUMN($F17:$AC17),999),COLUMN(W:W))=999,"",OFFSET($F17,0,SMALL(IF(($F17:$AC17&lt;&gt;""),COLUMN($F17:$AC17),999),COLUMN(W:W))-6))</f>
        <v/>
      </c>
      <c r="BA17" s="78" t="str">
        <f t="array" aca="1" ref="BA17" ca="1">IF(SMALL(IF(($F17:$AC17&lt;&gt;""),COLUMN($F17:$AC17),999),COLUMN(X:X))=999,"",OFFSET($F17,0,SMALL(IF(($F17:$AC17&lt;&gt;""),COLUMN($F17:$AC17),999),COLUMN(X:X))-6))</f>
        <v/>
      </c>
    </row>
    <row r="18" spans="1:53" ht="26.45" customHeight="1" x14ac:dyDescent="0.25">
      <c r="A18" s="83">
        <v>16</v>
      </c>
      <c r="B18" s="80"/>
      <c r="C18" s="86" t="str">
        <f t="array" ref="C18">IFERROR(INDEX(job_name,MATCH(B18,FMS_Job,0)),"--")</f>
        <v>--</v>
      </c>
      <c r="D18" s="86" t="str">
        <f t="array" ref="D18">IFERROR(INDEX(Lab_Reference,MATCH(B18,FMS_Job,0)),"--")</f>
        <v>--</v>
      </c>
      <c r="E18" s="102"/>
      <c r="F18" s="26" t="str">
        <f t="shared" si="0"/>
        <v/>
      </c>
      <c r="G18" s="26" t="str">
        <f t="shared" si="7"/>
        <v/>
      </c>
      <c r="H18" s="26" t="str">
        <f t="shared" si="7"/>
        <v/>
      </c>
      <c r="I18" s="26" t="str">
        <f t="shared" si="7"/>
        <v/>
      </c>
      <c r="J18" s="26" t="str">
        <f t="shared" si="7"/>
        <v/>
      </c>
      <c r="K18" s="26" t="str">
        <f t="shared" si="7"/>
        <v/>
      </c>
      <c r="L18" s="26" t="str">
        <f t="shared" si="3"/>
        <v/>
      </c>
      <c r="M18" s="26" t="str">
        <f t="shared" si="7"/>
        <v/>
      </c>
      <c r="N18" s="26" t="str">
        <f t="shared" si="7"/>
        <v/>
      </c>
      <c r="O18" s="26" t="str">
        <f t="shared" si="7"/>
        <v/>
      </c>
      <c r="P18" s="26" t="str">
        <f t="shared" si="7"/>
        <v/>
      </c>
      <c r="Q18" s="26" t="str">
        <f t="shared" si="7"/>
        <v/>
      </c>
      <c r="R18" s="26" t="str">
        <f t="shared" si="7"/>
        <v/>
      </c>
      <c r="S18" s="26" t="str">
        <f t="shared" si="7"/>
        <v/>
      </c>
      <c r="T18" s="26" t="str">
        <f t="shared" si="7"/>
        <v/>
      </c>
      <c r="U18" s="26" t="str">
        <f t="shared" si="7"/>
        <v/>
      </c>
      <c r="V18" s="26" t="str">
        <f t="shared" si="6"/>
        <v/>
      </c>
      <c r="W18" s="26" t="str">
        <f t="shared" si="6"/>
        <v/>
      </c>
      <c r="X18" s="26" t="str">
        <f t="shared" si="6"/>
        <v/>
      </c>
      <c r="Y18" s="26" t="str">
        <f t="shared" si="6"/>
        <v/>
      </c>
      <c r="Z18" s="26" t="str">
        <f t="shared" si="6"/>
        <v/>
      </c>
      <c r="AA18" s="26" t="str">
        <f t="shared" si="6"/>
        <v/>
      </c>
      <c r="AB18" s="26" t="str">
        <f t="shared" si="6"/>
        <v/>
      </c>
      <c r="AC18" s="26" t="str">
        <f t="shared" si="6"/>
        <v/>
      </c>
      <c r="AD18" s="78" t="str">
        <f t="array" aca="1" ref="AD18" ca="1">IF(SMALL(IF(($F18:$AC18&lt;&gt;""),COLUMN($F18:$AC18),999),COLUMN(A:A))=999,"",OFFSET($F18,0,SMALL(IF(($F18:$AC18&lt;&gt;""),COLUMN($F18:$AC18),999),COLUMN(A:A))-6))</f>
        <v/>
      </c>
      <c r="AE18" s="78" t="str">
        <f t="array" aca="1" ref="AE18" ca="1">IF(SMALL(IF(($F18:$AC18&lt;&gt;""),COLUMN($F18:$AC18),999),COLUMN(B:B))=999,"",OFFSET($F18,0,SMALL(IF(($F18:$AC18&lt;&gt;""),COLUMN($F18:$AC18),999),COLUMN(B:B))-6))</f>
        <v/>
      </c>
      <c r="AF18" s="78" t="str">
        <f t="array" aca="1" ref="AF18" ca="1">IF(SMALL(IF(($F18:$AC18&lt;&gt;""),COLUMN($F18:$AC18),999),COLUMN(C:C))=999,"",OFFSET($F18,0,SMALL(IF(($F18:$AC18&lt;&gt;""),COLUMN($F18:$AC18),999),COLUMN(C:C))-6))</f>
        <v/>
      </c>
      <c r="AG18" s="78" t="str">
        <f t="array" aca="1" ref="AG18" ca="1">IF(SMALL(IF(($F18:$AC18&lt;&gt;""),COLUMN($F18:$AC18),999),COLUMN(D:D))=999,"",OFFSET($F18,0,SMALL(IF(($F18:$AC18&lt;&gt;""),COLUMN($F18:$AC18),999),COLUMN(D:D))-6))</f>
        <v/>
      </c>
      <c r="AH18" s="78" t="str">
        <f t="array" aca="1" ref="AH18" ca="1">IF(SMALL(IF(($F18:$AC18&lt;&gt;""),COLUMN($F18:$AC18),999),COLUMN(E:E))=999,"",OFFSET($F18,0,SMALL(IF(($F18:$AC18&lt;&gt;""),COLUMN($F18:$AC18),999),COLUMN(E:E))-6))</f>
        <v/>
      </c>
      <c r="AI18" s="78" t="str">
        <f t="array" aca="1" ref="AI18" ca="1">IF(SMALL(IF(($F18:$AC18&lt;&gt;""),COLUMN($F18:$AC18),999),COLUMN(F:F))=999,"",OFFSET($F18,0,SMALL(IF(($F18:$AC18&lt;&gt;""),COLUMN($F18:$AC18),999),COLUMN(F:F))-6))</f>
        <v/>
      </c>
      <c r="AJ18" s="78" t="str">
        <f t="array" aca="1" ref="AJ18" ca="1">IF(SMALL(IF(($F18:$AC18&lt;&gt;""),COLUMN($F18:$AC18),999),COLUMN(G:G))=999,"",OFFSET($F18,0,SMALL(IF(($F18:$AC18&lt;&gt;""),COLUMN($F18:$AC18),999),COLUMN(G:G))-6))</f>
        <v/>
      </c>
      <c r="AK18" s="78" t="str">
        <f t="array" aca="1" ref="AK18" ca="1">IF(SMALL(IF(($F18:$AC18&lt;&gt;""),COLUMN($F18:$AC18),999),COLUMN(H:H))=999,"",OFFSET($F18,0,SMALL(IF(($F18:$AC18&lt;&gt;""),COLUMN($F18:$AC18),999),COLUMN(H:H))-6))</f>
        <v/>
      </c>
      <c r="AL18" s="78" t="str">
        <f t="array" aca="1" ref="AL18" ca="1">IF(SMALL(IF(($F18:$AC18&lt;&gt;""),COLUMN($F18:$AC18),999),COLUMN(I:I))=999,"",OFFSET($F18,0,SMALL(IF(($F18:$AC18&lt;&gt;""),COLUMN($F18:$AC18),999),COLUMN(I:I))-6))</f>
        <v/>
      </c>
      <c r="AM18" s="78" t="str">
        <f t="array" aca="1" ref="AM18" ca="1">IF(SMALL(IF(($F18:$AC18&lt;&gt;""),COLUMN($F18:$AC18),999),COLUMN(J:J))=999,"",OFFSET($F18,0,SMALL(IF(($F18:$AC18&lt;&gt;""),COLUMN($F18:$AC18),999),COLUMN(J:J))-6))</f>
        <v/>
      </c>
      <c r="AN18" s="78" t="str">
        <f t="array" aca="1" ref="AN18" ca="1">IF(SMALL(IF(($F18:$AC18&lt;&gt;""),COLUMN($F18:$AC18),999),COLUMN(K:K))=999,"",OFFSET($F18,0,SMALL(IF(($F18:$AC18&lt;&gt;""),COLUMN($F18:$AC18),999),COLUMN(K:K))-6))</f>
        <v/>
      </c>
      <c r="AO18" s="78" t="str">
        <f t="array" aca="1" ref="AO18" ca="1">IF(SMALL(IF(($F18:$AC18&lt;&gt;""),COLUMN($F18:$AC18),999),COLUMN(L:L))=999,"",OFFSET($F18,0,SMALL(IF(($F18:$AC18&lt;&gt;""),COLUMN($F18:$AC18),999),COLUMN(L:L))-6))</f>
        <v/>
      </c>
      <c r="AP18" s="78" t="str">
        <f t="array" aca="1" ref="AP18" ca="1">IF(SMALL(IF(($F18:$AC18&lt;&gt;""),COLUMN($F18:$AC18),999),COLUMN(M:M))=999,"",OFFSET($F18,0,SMALL(IF(($F18:$AC18&lt;&gt;""),COLUMN($F18:$AC18),999),COLUMN(M:M))-6))</f>
        <v/>
      </c>
      <c r="AQ18" s="78" t="str">
        <f t="array" aca="1" ref="AQ18" ca="1">IF(SMALL(IF(($F18:$AC18&lt;&gt;""),COLUMN($F18:$AC18),999),COLUMN(N:N))=999,"",OFFSET($F18,0,SMALL(IF(($F18:$AC18&lt;&gt;""),COLUMN($F18:$AC18),999),COLUMN(N:N))-6))</f>
        <v/>
      </c>
      <c r="AR18" s="78" t="str">
        <f t="array" aca="1" ref="AR18" ca="1">IF(SMALL(IF(($F18:$AC18&lt;&gt;""),COLUMN($F18:$AC18),999),COLUMN(O:O))=999,"",OFFSET($F18,0,SMALL(IF(($F18:$AC18&lt;&gt;""),COLUMN($F18:$AC18),999),COLUMN(O:O))-6))</f>
        <v/>
      </c>
      <c r="AS18" s="78" t="str">
        <f t="array" aca="1" ref="AS18" ca="1">IF(SMALL(IF(($F18:$AC18&lt;&gt;""),COLUMN($F18:$AC18),999),COLUMN(P:P))=999,"",OFFSET($F18,0,SMALL(IF(($F18:$AC18&lt;&gt;""),COLUMN($F18:$AC18),999),COLUMN(P:P))-6))</f>
        <v/>
      </c>
      <c r="AT18" s="78" t="str">
        <f t="array" aca="1" ref="AT18" ca="1">IF(SMALL(IF(($F18:$AC18&lt;&gt;""),COLUMN($F18:$AC18),999),COLUMN(Q:Q))=999,"",OFFSET($F18,0,SMALL(IF(($F18:$AC18&lt;&gt;""),COLUMN($F18:$AC18),999),COLUMN(Q:Q))-6))</f>
        <v/>
      </c>
      <c r="AU18" s="78" t="str">
        <f t="array" aca="1" ref="AU18" ca="1">IF(SMALL(IF(($F18:$AC18&lt;&gt;""),COLUMN($F18:$AC18),999),COLUMN(R:R))=999,"",OFFSET($F18,0,SMALL(IF(($F18:$AC18&lt;&gt;""),COLUMN($F18:$AC18),999),COLUMN(R:R))-6))</f>
        <v/>
      </c>
      <c r="AV18" s="78" t="str">
        <f t="array" aca="1" ref="AV18" ca="1">IF(SMALL(IF(($F18:$AC18&lt;&gt;""),COLUMN($F18:$AC18),999),COLUMN(S:S))=999,"",OFFSET($F18,0,SMALL(IF(($F18:$AC18&lt;&gt;""),COLUMN($F18:$AC18),999),COLUMN(S:S))-6))</f>
        <v/>
      </c>
      <c r="AW18" s="78" t="str">
        <f t="array" aca="1" ref="AW18" ca="1">IF(SMALL(IF(($F18:$AC18&lt;&gt;""),COLUMN($F18:$AC18),999),COLUMN(T:T))=999,"",OFFSET($F18,0,SMALL(IF(($F18:$AC18&lt;&gt;""),COLUMN($F18:$AC18),999),COLUMN(T:T))-6))</f>
        <v/>
      </c>
      <c r="AX18" s="78" t="str">
        <f t="array" aca="1" ref="AX18" ca="1">IF(SMALL(IF(($F18:$AC18&lt;&gt;""),COLUMN($F18:$AC18),999),COLUMN(U:U))=999,"",OFFSET($F18,0,SMALL(IF(($F18:$AC18&lt;&gt;""),COLUMN($F18:$AC18),999),COLUMN(U:U))-6))</f>
        <v/>
      </c>
      <c r="AY18" s="78" t="str">
        <f t="array" aca="1" ref="AY18" ca="1">IF(SMALL(IF(($F18:$AC18&lt;&gt;""),COLUMN($F18:$AC18),999),COLUMN(V:V))=999,"",OFFSET($F18,0,SMALL(IF(($F18:$AC18&lt;&gt;""),COLUMN($F18:$AC18),999),COLUMN(V:V))-6))</f>
        <v/>
      </c>
      <c r="AZ18" s="78" t="str">
        <f t="array" aca="1" ref="AZ18" ca="1">IF(SMALL(IF(($F18:$AC18&lt;&gt;""),COLUMN($F18:$AC18),999),COLUMN(W:W))=999,"",OFFSET($F18,0,SMALL(IF(($F18:$AC18&lt;&gt;""),COLUMN($F18:$AC18),999),COLUMN(W:W))-6))</f>
        <v/>
      </c>
      <c r="BA18" s="78" t="str">
        <f t="array" aca="1" ref="BA18" ca="1">IF(SMALL(IF(($F18:$AC18&lt;&gt;""),COLUMN($F18:$AC18),999),COLUMN(X:X))=999,"",OFFSET($F18,0,SMALL(IF(($F18:$AC18&lt;&gt;""),COLUMN($F18:$AC18),999),COLUMN(X:X))-6))</f>
        <v/>
      </c>
    </row>
    <row r="19" spans="1:53" ht="26.45" customHeight="1" x14ac:dyDescent="0.25">
      <c r="A19" s="83">
        <v>17</v>
      </c>
      <c r="B19" s="80"/>
      <c r="C19" s="86" t="str">
        <f t="array" ref="C19">IFERROR(INDEX(job_name,MATCH(B19,FMS_Job,0)),"--")</f>
        <v>--</v>
      </c>
      <c r="D19" s="86" t="str">
        <f t="array" ref="D19">IFERROR(INDEX(Lab_Reference,MATCH(B19,FMS_Job,0)),"--")</f>
        <v>--</v>
      </c>
      <c r="E19" s="291"/>
      <c r="F19" s="26" t="str">
        <f t="shared" si="0"/>
        <v/>
      </c>
      <c r="G19" s="26" t="str">
        <f t="shared" si="7"/>
        <v/>
      </c>
      <c r="H19" s="26" t="str">
        <f t="shared" si="7"/>
        <v/>
      </c>
      <c r="I19" s="26" t="str">
        <f t="shared" si="7"/>
        <v/>
      </c>
      <c r="J19" s="26" t="str">
        <f t="shared" si="7"/>
        <v/>
      </c>
      <c r="K19" s="26" t="str">
        <f t="shared" si="7"/>
        <v/>
      </c>
      <c r="L19" s="26" t="str">
        <f t="shared" si="3"/>
        <v/>
      </c>
      <c r="M19" s="26" t="str">
        <f t="shared" si="7"/>
        <v/>
      </c>
      <c r="N19" s="26" t="str">
        <f t="shared" si="7"/>
        <v/>
      </c>
      <c r="O19" s="26" t="str">
        <f t="shared" si="7"/>
        <v/>
      </c>
      <c r="P19" s="26" t="str">
        <f t="shared" si="7"/>
        <v/>
      </c>
      <c r="Q19" s="26" t="str">
        <f t="shared" si="7"/>
        <v/>
      </c>
      <c r="R19" s="26" t="str">
        <f t="shared" si="7"/>
        <v/>
      </c>
      <c r="S19" s="26" t="str">
        <f t="shared" si="7"/>
        <v/>
      </c>
      <c r="T19" s="26" t="str">
        <f t="shared" si="7"/>
        <v/>
      </c>
      <c r="U19" s="26" t="str">
        <f t="shared" si="7"/>
        <v/>
      </c>
      <c r="V19" s="26" t="str">
        <f t="shared" si="6"/>
        <v/>
      </c>
      <c r="W19" s="26" t="str">
        <f t="shared" si="6"/>
        <v/>
      </c>
      <c r="X19" s="26" t="str">
        <f t="shared" si="6"/>
        <v/>
      </c>
      <c r="Y19" s="26" t="str">
        <f t="shared" si="6"/>
        <v/>
      </c>
      <c r="Z19" s="26" t="str">
        <f t="shared" si="6"/>
        <v/>
      </c>
      <c r="AA19" s="26" t="str">
        <f t="shared" si="6"/>
        <v/>
      </c>
      <c r="AB19" s="26" t="str">
        <f t="shared" si="6"/>
        <v/>
      </c>
      <c r="AC19" s="26" t="str">
        <f t="shared" si="6"/>
        <v/>
      </c>
      <c r="AD19" s="78" t="str">
        <f t="array" aca="1" ref="AD19" ca="1">IF(SMALL(IF(($F19:$AC19&lt;&gt;""),COLUMN($F19:$AC19),999),COLUMN(A:A))=999,"",OFFSET($F19,0,SMALL(IF(($F19:$AC19&lt;&gt;""),COLUMN($F19:$AC19),999),COLUMN(A:A))-6))</f>
        <v/>
      </c>
      <c r="AE19" s="78" t="str">
        <f t="array" aca="1" ref="AE19" ca="1">IF(SMALL(IF(($F19:$AC19&lt;&gt;""),COLUMN($F19:$AC19),999),COLUMN(B:B))=999,"",OFFSET($F19,0,SMALL(IF(($F19:$AC19&lt;&gt;""),COLUMN($F19:$AC19),999),COLUMN(B:B))-6))</f>
        <v/>
      </c>
      <c r="AF19" s="78" t="str">
        <f t="array" aca="1" ref="AF19" ca="1">IF(SMALL(IF(($F19:$AC19&lt;&gt;""),COLUMN($F19:$AC19),999),COLUMN(C:C))=999,"",OFFSET($F19,0,SMALL(IF(($F19:$AC19&lt;&gt;""),COLUMN($F19:$AC19),999),COLUMN(C:C))-6))</f>
        <v/>
      </c>
      <c r="AG19" s="78" t="str">
        <f t="array" aca="1" ref="AG19" ca="1">IF(SMALL(IF(($F19:$AC19&lt;&gt;""),COLUMN($F19:$AC19),999),COLUMN(D:D))=999,"",OFFSET($F19,0,SMALL(IF(($F19:$AC19&lt;&gt;""),COLUMN($F19:$AC19),999),COLUMN(D:D))-6))</f>
        <v/>
      </c>
      <c r="AH19" s="78" t="str">
        <f t="array" aca="1" ref="AH19" ca="1">IF(SMALL(IF(($F19:$AC19&lt;&gt;""),COLUMN($F19:$AC19),999),COLUMN(E:E))=999,"",OFFSET($F19,0,SMALL(IF(($F19:$AC19&lt;&gt;""),COLUMN($F19:$AC19),999),COLUMN(E:E))-6))</f>
        <v/>
      </c>
      <c r="AI19" s="78" t="str">
        <f t="array" aca="1" ref="AI19" ca="1">IF(SMALL(IF(($F19:$AC19&lt;&gt;""),COLUMN($F19:$AC19),999),COLUMN(F:F))=999,"",OFFSET($F19,0,SMALL(IF(($F19:$AC19&lt;&gt;""),COLUMN($F19:$AC19),999),COLUMN(F:F))-6))</f>
        <v/>
      </c>
      <c r="AJ19" s="78" t="str">
        <f t="array" aca="1" ref="AJ19" ca="1">IF(SMALL(IF(($F19:$AC19&lt;&gt;""),COLUMN($F19:$AC19),999),COLUMN(G:G))=999,"",OFFSET($F19,0,SMALL(IF(($F19:$AC19&lt;&gt;""),COLUMN($F19:$AC19),999),COLUMN(G:G))-6))</f>
        <v/>
      </c>
      <c r="AK19" s="78" t="str">
        <f t="array" aca="1" ref="AK19" ca="1">IF(SMALL(IF(($F19:$AC19&lt;&gt;""),COLUMN($F19:$AC19),999),COLUMN(H:H))=999,"",OFFSET($F19,0,SMALL(IF(($F19:$AC19&lt;&gt;""),COLUMN($F19:$AC19),999),COLUMN(H:H))-6))</f>
        <v/>
      </c>
      <c r="AL19" s="78" t="str">
        <f t="array" aca="1" ref="AL19" ca="1">IF(SMALL(IF(($F19:$AC19&lt;&gt;""),COLUMN($F19:$AC19),999),COLUMN(I:I))=999,"",OFFSET($F19,0,SMALL(IF(($F19:$AC19&lt;&gt;""),COLUMN($F19:$AC19),999),COLUMN(I:I))-6))</f>
        <v/>
      </c>
      <c r="AM19" s="78" t="str">
        <f t="array" aca="1" ref="AM19" ca="1">IF(SMALL(IF(($F19:$AC19&lt;&gt;""),COLUMN($F19:$AC19),999),COLUMN(J:J))=999,"",OFFSET($F19,0,SMALL(IF(($F19:$AC19&lt;&gt;""),COLUMN($F19:$AC19),999),COLUMN(J:J))-6))</f>
        <v/>
      </c>
      <c r="AN19" s="78" t="str">
        <f t="array" aca="1" ref="AN19" ca="1">IF(SMALL(IF(($F19:$AC19&lt;&gt;""),COLUMN($F19:$AC19),999),COLUMN(K:K))=999,"",OFFSET($F19,0,SMALL(IF(($F19:$AC19&lt;&gt;""),COLUMN($F19:$AC19),999),COLUMN(K:K))-6))</f>
        <v/>
      </c>
      <c r="AO19" s="78" t="str">
        <f t="array" aca="1" ref="AO19" ca="1">IF(SMALL(IF(($F19:$AC19&lt;&gt;""),COLUMN($F19:$AC19),999),COLUMN(L:L))=999,"",OFFSET($F19,0,SMALL(IF(($F19:$AC19&lt;&gt;""),COLUMN($F19:$AC19),999),COLUMN(L:L))-6))</f>
        <v/>
      </c>
      <c r="AP19" s="78" t="str">
        <f t="array" aca="1" ref="AP19" ca="1">IF(SMALL(IF(($F19:$AC19&lt;&gt;""),COLUMN($F19:$AC19),999),COLUMN(M:M))=999,"",OFFSET($F19,0,SMALL(IF(($F19:$AC19&lt;&gt;""),COLUMN($F19:$AC19),999),COLUMN(M:M))-6))</f>
        <v/>
      </c>
      <c r="AQ19" s="78" t="str">
        <f t="array" aca="1" ref="AQ19" ca="1">IF(SMALL(IF(($F19:$AC19&lt;&gt;""),COLUMN($F19:$AC19),999),COLUMN(N:N))=999,"",OFFSET($F19,0,SMALL(IF(($F19:$AC19&lt;&gt;""),COLUMN($F19:$AC19),999),COLUMN(N:N))-6))</f>
        <v/>
      </c>
      <c r="AR19" s="78" t="str">
        <f t="array" aca="1" ref="AR19" ca="1">IF(SMALL(IF(($F19:$AC19&lt;&gt;""),COLUMN($F19:$AC19),999),COLUMN(O:O))=999,"",OFFSET($F19,0,SMALL(IF(($F19:$AC19&lt;&gt;""),COLUMN($F19:$AC19),999),COLUMN(O:O))-6))</f>
        <v/>
      </c>
      <c r="AS19" s="78" t="str">
        <f t="array" aca="1" ref="AS19" ca="1">IF(SMALL(IF(($F19:$AC19&lt;&gt;""),COLUMN($F19:$AC19),999),COLUMN(P:P))=999,"",OFFSET($F19,0,SMALL(IF(($F19:$AC19&lt;&gt;""),COLUMN($F19:$AC19),999),COLUMN(P:P))-6))</f>
        <v/>
      </c>
      <c r="AT19" s="78" t="str">
        <f t="array" aca="1" ref="AT19" ca="1">IF(SMALL(IF(($F19:$AC19&lt;&gt;""),COLUMN($F19:$AC19),999),COLUMN(Q:Q))=999,"",OFFSET($F19,0,SMALL(IF(($F19:$AC19&lt;&gt;""),COLUMN($F19:$AC19),999),COLUMN(Q:Q))-6))</f>
        <v/>
      </c>
      <c r="AU19" s="78" t="str">
        <f t="array" aca="1" ref="AU19" ca="1">IF(SMALL(IF(($F19:$AC19&lt;&gt;""),COLUMN($F19:$AC19),999),COLUMN(R:R))=999,"",OFFSET($F19,0,SMALL(IF(($F19:$AC19&lt;&gt;""),COLUMN($F19:$AC19),999),COLUMN(R:R))-6))</f>
        <v/>
      </c>
      <c r="AV19" s="78" t="str">
        <f t="array" aca="1" ref="AV19" ca="1">IF(SMALL(IF(($F19:$AC19&lt;&gt;""),COLUMN($F19:$AC19),999),COLUMN(S:S))=999,"",OFFSET($F19,0,SMALL(IF(($F19:$AC19&lt;&gt;""),COLUMN($F19:$AC19),999),COLUMN(S:S))-6))</f>
        <v/>
      </c>
      <c r="AW19" s="78" t="str">
        <f t="array" aca="1" ref="AW19" ca="1">IF(SMALL(IF(($F19:$AC19&lt;&gt;""),COLUMN($F19:$AC19),999),COLUMN(T:T))=999,"",OFFSET($F19,0,SMALL(IF(($F19:$AC19&lt;&gt;""),COLUMN($F19:$AC19),999),COLUMN(T:T))-6))</f>
        <v/>
      </c>
      <c r="AX19" s="78" t="str">
        <f t="array" aca="1" ref="AX19" ca="1">IF(SMALL(IF(($F19:$AC19&lt;&gt;""),COLUMN($F19:$AC19),999),COLUMN(U:U))=999,"",OFFSET($F19,0,SMALL(IF(($F19:$AC19&lt;&gt;""),COLUMN($F19:$AC19),999),COLUMN(U:U))-6))</f>
        <v/>
      </c>
      <c r="AY19" s="78" t="str">
        <f t="array" aca="1" ref="AY19" ca="1">IF(SMALL(IF(($F19:$AC19&lt;&gt;""),COLUMN($F19:$AC19),999),COLUMN(V:V))=999,"",OFFSET($F19,0,SMALL(IF(($F19:$AC19&lt;&gt;""),COLUMN($F19:$AC19),999),COLUMN(V:V))-6))</f>
        <v/>
      </c>
      <c r="AZ19" s="78" t="str">
        <f t="array" aca="1" ref="AZ19" ca="1">IF(SMALL(IF(($F19:$AC19&lt;&gt;""),COLUMN($F19:$AC19),999),COLUMN(W:W))=999,"",OFFSET($F19,0,SMALL(IF(($F19:$AC19&lt;&gt;""),COLUMN($F19:$AC19),999),COLUMN(W:W))-6))</f>
        <v/>
      </c>
      <c r="BA19" s="78" t="str">
        <f t="array" aca="1" ref="BA19" ca="1">IF(SMALL(IF(($F19:$AC19&lt;&gt;""),COLUMN($F19:$AC19),999),COLUMN(X:X))=999,"",OFFSET($F19,0,SMALL(IF(($F19:$AC19&lt;&gt;""),COLUMN($F19:$AC19),999),COLUMN(X:X))-6))</f>
        <v/>
      </c>
    </row>
    <row r="20" spans="1:53" ht="26.45" customHeight="1" x14ac:dyDescent="0.25">
      <c r="A20" s="83">
        <v>18</v>
      </c>
      <c r="B20" s="80"/>
      <c r="C20" s="86" t="str">
        <f t="array" ref="C20">IFERROR(INDEX(job_name,MATCH(B20,FMS_Job,0)),"--")</f>
        <v>--</v>
      </c>
      <c r="D20" s="86" t="str">
        <f t="array" ref="D20">IFERROR(INDEX(Lab_Reference,MATCH(B20,FMS_Job,0)),"--")</f>
        <v>--</v>
      </c>
      <c r="E20" s="291"/>
      <c r="F20" s="26" t="str">
        <f t="shared" si="0"/>
        <v/>
      </c>
      <c r="G20" s="26" t="str">
        <f t="shared" si="7"/>
        <v/>
      </c>
      <c r="H20" s="26" t="str">
        <f t="shared" si="7"/>
        <v/>
      </c>
      <c r="I20" s="26" t="str">
        <f t="shared" si="7"/>
        <v/>
      </c>
      <c r="J20" s="26" t="str">
        <f t="shared" si="7"/>
        <v/>
      </c>
      <c r="K20" s="26" t="str">
        <f t="shared" si="7"/>
        <v/>
      </c>
      <c r="L20" s="26" t="str">
        <f t="shared" si="3"/>
        <v/>
      </c>
      <c r="M20" s="26" t="str">
        <f t="shared" si="7"/>
        <v/>
      </c>
      <c r="N20" s="26" t="str">
        <f t="shared" si="7"/>
        <v/>
      </c>
      <c r="O20" s="26" t="str">
        <f t="shared" si="7"/>
        <v/>
      </c>
      <c r="P20" s="26" t="str">
        <f t="shared" si="7"/>
        <v/>
      </c>
      <c r="Q20" s="26" t="str">
        <f t="shared" si="7"/>
        <v/>
      </c>
      <c r="R20" s="26" t="str">
        <f t="shared" si="7"/>
        <v/>
      </c>
      <c r="S20" s="26" t="str">
        <f t="shared" si="7"/>
        <v/>
      </c>
      <c r="T20" s="26" t="str">
        <f t="shared" si="7"/>
        <v/>
      </c>
      <c r="U20" s="26" t="str">
        <f t="shared" si="7"/>
        <v/>
      </c>
      <c r="V20" s="26" t="str">
        <f t="shared" si="6"/>
        <v/>
      </c>
      <c r="W20" s="26" t="str">
        <f t="shared" si="6"/>
        <v/>
      </c>
      <c r="X20" s="26" t="str">
        <f t="shared" si="6"/>
        <v/>
      </c>
      <c r="Y20" s="26" t="str">
        <f t="shared" si="6"/>
        <v/>
      </c>
      <c r="Z20" s="26" t="str">
        <f t="shared" si="6"/>
        <v/>
      </c>
      <c r="AA20" s="26" t="str">
        <f t="shared" si="6"/>
        <v/>
      </c>
      <c r="AB20" s="26" t="str">
        <f t="shared" si="6"/>
        <v/>
      </c>
      <c r="AC20" s="26" t="str">
        <f t="shared" si="6"/>
        <v/>
      </c>
      <c r="AD20" s="78" t="str">
        <f t="array" aca="1" ref="AD20" ca="1">IF(SMALL(IF(($F20:$AC20&lt;&gt;""),COLUMN($F20:$AC20),999),COLUMN(A:A))=999,"",OFFSET($F20,0,SMALL(IF(($F20:$AC20&lt;&gt;""),COLUMN($F20:$AC20),999),COLUMN(A:A))-6))</f>
        <v/>
      </c>
      <c r="AE20" s="78" t="str">
        <f t="array" aca="1" ref="AE20" ca="1">IF(SMALL(IF(($F20:$AC20&lt;&gt;""),COLUMN($F20:$AC20),999),COLUMN(B:B))=999,"",OFFSET($F20,0,SMALL(IF(($F20:$AC20&lt;&gt;""),COLUMN($F20:$AC20),999),COLUMN(B:B))-6))</f>
        <v/>
      </c>
      <c r="AF20" s="78" t="str">
        <f t="array" aca="1" ref="AF20" ca="1">IF(SMALL(IF(($F20:$AC20&lt;&gt;""),COLUMN($F20:$AC20),999),COLUMN(C:C))=999,"",OFFSET($F20,0,SMALL(IF(($F20:$AC20&lt;&gt;""),COLUMN($F20:$AC20),999),COLUMN(C:C))-6))</f>
        <v/>
      </c>
      <c r="AG20" s="78" t="str">
        <f t="array" aca="1" ref="AG20" ca="1">IF(SMALL(IF(($F20:$AC20&lt;&gt;""),COLUMN($F20:$AC20),999),COLUMN(D:D))=999,"",OFFSET($F20,0,SMALL(IF(($F20:$AC20&lt;&gt;""),COLUMN($F20:$AC20),999),COLUMN(D:D))-6))</f>
        <v/>
      </c>
      <c r="AH20" s="78" t="str">
        <f t="array" aca="1" ref="AH20" ca="1">IF(SMALL(IF(($F20:$AC20&lt;&gt;""),COLUMN($F20:$AC20),999),COLUMN(E:E))=999,"",OFFSET($F20,0,SMALL(IF(($F20:$AC20&lt;&gt;""),COLUMN($F20:$AC20),999),COLUMN(E:E))-6))</f>
        <v/>
      </c>
      <c r="AI20" s="78" t="str">
        <f t="array" aca="1" ref="AI20" ca="1">IF(SMALL(IF(($F20:$AC20&lt;&gt;""),COLUMN($F20:$AC20),999),COLUMN(F:F))=999,"",OFFSET($F20,0,SMALL(IF(($F20:$AC20&lt;&gt;""),COLUMN($F20:$AC20),999),COLUMN(F:F))-6))</f>
        <v/>
      </c>
      <c r="AJ20" s="78" t="str">
        <f t="array" aca="1" ref="AJ20" ca="1">IF(SMALL(IF(($F20:$AC20&lt;&gt;""),COLUMN($F20:$AC20),999),COLUMN(G:G))=999,"",OFFSET($F20,0,SMALL(IF(($F20:$AC20&lt;&gt;""),COLUMN($F20:$AC20),999),COLUMN(G:G))-6))</f>
        <v/>
      </c>
      <c r="AK20" s="78" t="str">
        <f t="array" aca="1" ref="AK20" ca="1">IF(SMALL(IF(($F20:$AC20&lt;&gt;""),COLUMN($F20:$AC20),999),COLUMN(H:H))=999,"",OFFSET($F20,0,SMALL(IF(($F20:$AC20&lt;&gt;""),COLUMN($F20:$AC20),999),COLUMN(H:H))-6))</f>
        <v/>
      </c>
      <c r="AL20" s="78" t="str">
        <f t="array" aca="1" ref="AL20" ca="1">IF(SMALL(IF(($F20:$AC20&lt;&gt;""),COLUMN($F20:$AC20),999),COLUMN(I:I))=999,"",OFFSET($F20,0,SMALL(IF(($F20:$AC20&lt;&gt;""),COLUMN($F20:$AC20),999),COLUMN(I:I))-6))</f>
        <v/>
      </c>
      <c r="AM20" s="78" t="str">
        <f t="array" aca="1" ref="AM20" ca="1">IF(SMALL(IF(($F20:$AC20&lt;&gt;""),COLUMN($F20:$AC20),999),COLUMN(J:J))=999,"",OFFSET($F20,0,SMALL(IF(($F20:$AC20&lt;&gt;""),COLUMN($F20:$AC20),999),COLUMN(J:J))-6))</f>
        <v/>
      </c>
      <c r="AN20" s="78" t="str">
        <f t="array" aca="1" ref="AN20" ca="1">IF(SMALL(IF(($F20:$AC20&lt;&gt;""),COLUMN($F20:$AC20),999),COLUMN(K:K))=999,"",OFFSET($F20,0,SMALL(IF(($F20:$AC20&lt;&gt;""),COLUMN($F20:$AC20),999),COLUMN(K:K))-6))</f>
        <v/>
      </c>
      <c r="AO20" s="78" t="str">
        <f t="array" aca="1" ref="AO20" ca="1">IF(SMALL(IF(($F20:$AC20&lt;&gt;""),COLUMN($F20:$AC20),999),COLUMN(L:L))=999,"",OFFSET($F20,0,SMALL(IF(($F20:$AC20&lt;&gt;""),COLUMN($F20:$AC20),999),COLUMN(L:L))-6))</f>
        <v/>
      </c>
      <c r="AP20" s="78" t="str">
        <f t="array" aca="1" ref="AP20" ca="1">IF(SMALL(IF(($F20:$AC20&lt;&gt;""),COLUMN($F20:$AC20),999),COLUMN(M:M))=999,"",OFFSET($F20,0,SMALL(IF(($F20:$AC20&lt;&gt;""),COLUMN($F20:$AC20),999),COLUMN(M:M))-6))</f>
        <v/>
      </c>
      <c r="AQ20" s="78" t="str">
        <f t="array" aca="1" ref="AQ20" ca="1">IF(SMALL(IF(($F20:$AC20&lt;&gt;""),COLUMN($F20:$AC20),999),COLUMN(N:N))=999,"",OFFSET($F20,0,SMALL(IF(($F20:$AC20&lt;&gt;""),COLUMN($F20:$AC20),999),COLUMN(N:N))-6))</f>
        <v/>
      </c>
      <c r="AR20" s="78" t="str">
        <f t="array" aca="1" ref="AR20" ca="1">IF(SMALL(IF(($F20:$AC20&lt;&gt;""),COLUMN($F20:$AC20),999),COLUMN(O:O))=999,"",OFFSET($F20,0,SMALL(IF(($F20:$AC20&lt;&gt;""),COLUMN($F20:$AC20),999),COLUMN(O:O))-6))</f>
        <v/>
      </c>
      <c r="AS20" s="78" t="str">
        <f t="array" aca="1" ref="AS20" ca="1">IF(SMALL(IF(($F20:$AC20&lt;&gt;""),COLUMN($F20:$AC20),999),COLUMN(P:P))=999,"",OFFSET($F20,0,SMALL(IF(($F20:$AC20&lt;&gt;""),COLUMN($F20:$AC20),999),COLUMN(P:P))-6))</f>
        <v/>
      </c>
      <c r="AT20" s="78" t="str">
        <f t="array" aca="1" ref="AT20" ca="1">IF(SMALL(IF(($F20:$AC20&lt;&gt;""),COLUMN($F20:$AC20),999),COLUMN(Q:Q))=999,"",OFFSET($F20,0,SMALL(IF(($F20:$AC20&lt;&gt;""),COLUMN($F20:$AC20),999),COLUMN(Q:Q))-6))</f>
        <v/>
      </c>
      <c r="AU20" s="78" t="str">
        <f t="array" aca="1" ref="AU20" ca="1">IF(SMALL(IF(($F20:$AC20&lt;&gt;""),COLUMN($F20:$AC20),999),COLUMN(R:R))=999,"",OFFSET($F20,0,SMALL(IF(($F20:$AC20&lt;&gt;""),COLUMN($F20:$AC20),999),COLUMN(R:R))-6))</f>
        <v/>
      </c>
      <c r="AV20" s="78" t="str">
        <f t="array" aca="1" ref="AV20" ca="1">IF(SMALL(IF(($F20:$AC20&lt;&gt;""),COLUMN($F20:$AC20),999),COLUMN(S:S))=999,"",OFFSET($F20,0,SMALL(IF(($F20:$AC20&lt;&gt;""),COLUMN($F20:$AC20),999),COLUMN(S:S))-6))</f>
        <v/>
      </c>
      <c r="AW20" s="78" t="str">
        <f t="array" aca="1" ref="AW20" ca="1">IF(SMALL(IF(($F20:$AC20&lt;&gt;""),COLUMN($F20:$AC20),999),COLUMN(T:T))=999,"",OFFSET($F20,0,SMALL(IF(($F20:$AC20&lt;&gt;""),COLUMN($F20:$AC20),999),COLUMN(T:T))-6))</f>
        <v/>
      </c>
      <c r="AX20" s="78" t="str">
        <f t="array" aca="1" ref="AX20" ca="1">IF(SMALL(IF(($F20:$AC20&lt;&gt;""),COLUMN($F20:$AC20),999),COLUMN(U:U))=999,"",OFFSET($F20,0,SMALL(IF(($F20:$AC20&lt;&gt;""),COLUMN($F20:$AC20),999),COLUMN(U:U))-6))</f>
        <v/>
      </c>
      <c r="AY20" s="78" t="str">
        <f t="array" aca="1" ref="AY20" ca="1">IF(SMALL(IF(($F20:$AC20&lt;&gt;""),COLUMN($F20:$AC20),999),COLUMN(V:V))=999,"",OFFSET($F20,0,SMALL(IF(($F20:$AC20&lt;&gt;""),COLUMN($F20:$AC20),999),COLUMN(V:V))-6))</f>
        <v/>
      </c>
      <c r="AZ20" s="78" t="str">
        <f t="array" aca="1" ref="AZ20" ca="1">IF(SMALL(IF(($F20:$AC20&lt;&gt;""),COLUMN($F20:$AC20),999),COLUMN(W:W))=999,"",OFFSET($F20,0,SMALL(IF(($F20:$AC20&lt;&gt;""),COLUMN($F20:$AC20),999),COLUMN(W:W))-6))</f>
        <v/>
      </c>
      <c r="BA20" s="78" t="str">
        <f t="array" aca="1" ref="BA20" ca="1">IF(SMALL(IF(($F20:$AC20&lt;&gt;""),COLUMN($F20:$AC20),999),COLUMN(X:X))=999,"",OFFSET($F20,0,SMALL(IF(($F20:$AC20&lt;&gt;""),COLUMN($F20:$AC20),999),COLUMN(X:X))-6))</f>
        <v/>
      </c>
    </row>
    <row r="21" spans="1:53" ht="26.45" customHeight="1" x14ac:dyDescent="0.25">
      <c r="A21" s="83">
        <v>19</v>
      </c>
      <c r="B21" s="80"/>
      <c r="C21" s="86" t="str">
        <f t="array" ref="C21">IFERROR(INDEX(job_name,MATCH(B21,FMS_Job,0)),"--")</f>
        <v>--</v>
      </c>
      <c r="D21" s="86" t="str">
        <f t="array" ref="D21">IFERROR(INDEX(Lab_Reference,MATCH(B21,FMS_Job,0)),"--")</f>
        <v>--</v>
      </c>
      <c r="E21" s="102"/>
      <c r="F21" s="26" t="str">
        <f t="shared" si="0"/>
        <v/>
      </c>
      <c r="G21" s="26" t="str">
        <f t="shared" si="7"/>
        <v/>
      </c>
      <c r="H21" s="26" t="str">
        <f t="shared" si="7"/>
        <v/>
      </c>
      <c r="I21" s="26" t="str">
        <f t="shared" si="7"/>
        <v/>
      </c>
      <c r="J21" s="26" t="str">
        <f t="shared" si="7"/>
        <v/>
      </c>
      <c r="K21" s="26" t="str">
        <f t="shared" si="7"/>
        <v/>
      </c>
      <c r="L21" s="26" t="str">
        <f t="shared" si="3"/>
        <v/>
      </c>
      <c r="M21" s="26" t="str">
        <f t="shared" si="7"/>
        <v/>
      </c>
      <c r="N21" s="26" t="str">
        <f t="shared" si="7"/>
        <v/>
      </c>
      <c r="O21" s="26" t="str">
        <f t="shared" si="7"/>
        <v/>
      </c>
      <c r="P21" s="26" t="str">
        <f t="shared" si="7"/>
        <v/>
      </c>
      <c r="Q21" s="26" t="str">
        <f t="shared" si="7"/>
        <v/>
      </c>
      <c r="R21" s="26" t="str">
        <f t="shared" si="7"/>
        <v/>
      </c>
      <c r="S21" s="26" t="str">
        <f t="shared" si="7"/>
        <v/>
      </c>
      <c r="T21" s="26" t="str">
        <f t="shared" si="7"/>
        <v/>
      </c>
      <c r="U21" s="26" t="str">
        <f t="shared" si="7"/>
        <v/>
      </c>
      <c r="V21" s="26" t="str">
        <f t="shared" si="6"/>
        <v/>
      </c>
      <c r="W21" s="26" t="str">
        <f t="shared" si="6"/>
        <v/>
      </c>
      <c r="X21" s="26" t="str">
        <f t="shared" si="6"/>
        <v/>
      </c>
      <c r="Y21" s="26" t="str">
        <f t="shared" si="6"/>
        <v/>
      </c>
      <c r="Z21" s="26" t="str">
        <f t="shared" si="6"/>
        <v/>
      </c>
      <c r="AA21" s="26" t="str">
        <f t="shared" si="6"/>
        <v/>
      </c>
      <c r="AB21" s="26" t="str">
        <f t="shared" si="6"/>
        <v/>
      </c>
      <c r="AC21" s="26" t="str">
        <f t="shared" si="6"/>
        <v/>
      </c>
      <c r="AD21" s="78" t="str">
        <f t="array" aca="1" ref="AD21" ca="1">IF(SMALL(IF(($F21:$AC21&lt;&gt;""),COLUMN($F21:$AC21),999),COLUMN(A:A))=999,"",OFFSET($F21,0,SMALL(IF(($F21:$AC21&lt;&gt;""),COLUMN($F21:$AC21),999),COLUMN(A:A))-6))</f>
        <v/>
      </c>
      <c r="AE21" s="78" t="str">
        <f t="array" aca="1" ref="AE21" ca="1">IF(SMALL(IF(($F21:$AC21&lt;&gt;""),COLUMN($F21:$AC21),999),COLUMN(B:B))=999,"",OFFSET($F21,0,SMALL(IF(($F21:$AC21&lt;&gt;""),COLUMN($F21:$AC21),999),COLUMN(B:B))-6))</f>
        <v/>
      </c>
      <c r="AF21" s="78" t="str">
        <f t="array" aca="1" ref="AF21" ca="1">IF(SMALL(IF(($F21:$AC21&lt;&gt;""),COLUMN($F21:$AC21),999),COLUMN(C:C))=999,"",OFFSET($F21,0,SMALL(IF(($F21:$AC21&lt;&gt;""),COLUMN($F21:$AC21),999),COLUMN(C:C))-6))</f>
        <v/>
      </c>
      <c r="AG21" s="78" t="str">
        <f t="array" aca="1" ref="AG21" ca="1">IF(SMALL(IF(($F21:$AC21&lt;&gt;""),COLUMN($F21:$AC21),999),COLUMN(D:D))=999,"",OFFSET($F21,0,SMALL(IF(($F21:$AC21&lt;&gt;""),COLUMN($F21:$AC21),999),COLUMN(D:D))-6))</f>
        <v/>
      </c>
      <c r="AH21" s="78" t="str">
        <f t="array" aca="1" ref="AH21" ca="1">IF(SMALL(IF(($F21:$AC21&lt;&gt;""),COLUMN($F21:$AC21),999),COLUMN(E:E))=999,"",OFFSET($F21,0,SMALL(IF(($F21:$AC21&lt;&gt;""),COLUMN($F21:$AC21),999),COLUMN(E:E))-6))</f>
        <v/>
      </c>
      <c r="AI21" s="78" t="str">
        <f t="array" aca="1" ref="AI21" ca="1">IF(SMALL(IF(($F21:$AC21&lt;&gt;""),COLUMN($F21:$AC21),999),COLUMN(F:F))=999,"",OFFSET($F21,0,SMALL(IF(($F21:$AC21&lt;&gt;""),COLUMN($F21:$AC21),999),COLUMN(F:F))-6))</f>
        <v/>
      </c>
      <c r="AJ21" s="78" t="str">
        <f t="array" aca="1" ref="AJ21" ca="1">IF(SMALL(IF(($F21:$AC21&lt;&gt;""),COLUMN($F21:$AC21),999),COLUMN(G:G))=999,"",OFFSET($F21,0,SMALL(IF(($F21:$AC21&lt;&gt;""),COLUMN($F21:$AC21),999),COLUMN(G:G))-6))</f>
        <v/>
      </c>
      <c r="AK21" s="78" t="str">
        <f t="array" aca="1" ref="AK21" ca="1">IF(SMALL(IF(($F21:$AC21&lt;&gt;""),COLUMN($F21:$AC21),999),COLUMN(H:H))=999,"",OFFSET($F21,0,SMALL(IF(($F21:$AC21&lt;&gt;""),COLUMN($F21:$AC21),999),COLUMN(H:H))-6))</f>
        <v/>
      </c>
      <c r="AL21" s="78" t="str">
        <f t="array" aca="1" ref="AL21" ca="1">IF(SMALL(IF(($F21:$AC21&lt;&gt;""),COLUMN($F21:$AC21),999),COLUMN(I:I))=999,"",OFFSET($F21,0,SMALL(IF(($F21:$AC21&lt;&gt;""),COLUMN($F21:$AC21),999),COLUMN(I:I))-6))</f>
        <v/>
      </c>
      <c r="AM21" s="78" t="str">
        <f t="array" aca="1" ref="AM21" ca="1">IF(SMALL(IF(($F21:$AC21&lt;&gt;""),COLUMN($F21:$AC21),999),COLUMN(J:J))=999,"",OFFSET($F21,0,SMALL(IF(($F21:$AC21&lt;&gt;""),COLUMN($F21:$AC21),999),COLUMN(J:J))-6))</f>
        <v/>
      </c>
      <c r="AN21" s="78" t="str">
        <f t="array" aca="1" ref="AN21" ca="1">IF(SMALL(IF(($F21:$AC21&lt;&gt;""),COLUMN($F21:$AC21),999),COLUMN(K:K))=999,"",OFFSET($F21,0,SMALL(IF(($F21:$AC21&lt;&gt;""),COLUMN($F21:$AC21),999),COLUMN(K:K))-6))</f>
        <v/>
      </c>
      <c r="AO21" s="78" t="str">
        <f t="array" aca="1" ref="AO21" ca="1">IF(SMALL(IF(($F21:$AC21&lt;&gt;""),COLUMN($F21:$AC21),999),COLUMN(L:L))=999,"",OFFSET($F21,0,SMALL(IF(($F21:$AC21&lt;&gt;""),COLUMN($F21:$AC21),999),COLUMN(L:L))-6))</f>
        <v/>
      </c>
      <c r="AP21" s="78" t="str">
        <f t="array" aca="1" ref="AP21" ca="1">IF(SMALL(IF(($F21:$AC21&lt;&gt;""),COLUMN($F21:$AC21),999),COLUMN(M:M))=999,"",OFFSET($F21,0,SMALL(IF(($F21:$AC21&lt;&gt;""),COLUMN($F21:$AC21),999),COLUMN(M:M))-6))</f>
        <v/>
      </c>
      <c r="AQ21" s="78" t="str">
        <f t="array" aca="1" ref="AQ21" ca="1">IF(SMALL(IF(($F21:$AC21&lt;&gt;""),COLUMN($F21:$AC21),999),COLUMN(N:N))=999,"",OFFSET($F21,0,SMALL(IF(($F21:$AC21&lt;&gt;""),COLUMN($F21:$AC21),999),COLUMN(N:N))-6))</f>
        <v/>
      </c>
      <c r="AR21" s="78" t="str">
        <f t="array" aca="1" ref="AR21" ca="1">IF(SMALL(IF(($F21:$AC21&lt;&gt;""),COLUMN($F21:$AC21),999),COLUMN(O:O))=999,"",OFFSET($F21,0,SMALL(IF(($F21:$AC21&lt;&gt;""),COLUMN($F21:$AC21),999),COLUMN(O:O))-6))</f>
        <v/>
      </c>
      <c r="AS21" s="78" t="str">
        <f t="array" aca="1" ref="AS21" ca="1">IF(SMALL(IF(($F21:$AC21&lt;&gt;""),COLUMN($F21:$AC21),999),COLUMN(P:P))=999,"",OFFSET($F21,0,SMALL(IF(($F21:$AC21&lt;&gt;""),COLUMN($F21:$AC21),999),COLUMN(P:P))-6))</f>
        <v/>
      </c>
      <c r="AT21" s="78" t="str">
        <f t="array" aca="1" ref="AT21" ca="1">IF(SMALL(IF(($F21:$AC21&lt;&gt;""),COLUMN($F21:$AC21),999),COLUMN(Q:Q))=999,"",OFFSET($F21,0,SMALL(IF(($F21:$AC21&lt;&gt;""),COLUMN($F21:$AC21),999),COLUMN(Q:Q))-6))</f>
        <v/>
      </c>
      <c r="AU21" s="78" t="str">
        <f t="array" aca="1" ref="AU21" ca="1">IF(SMALL(IF(($F21:$AC21&lt;&gt;""),COLUMN($F21:$AC21),999),COLUMN(R:R))=999,"",OFFSET($F21,0,SMALL(IF(($F21:$AC21&lt;&gt;""),COLUMN($F21:$AC21),999),COLUMN(R:R))-6))</f>
        <v/>
      </c>
      <c r="AV21" s="78" t="str">
        <f t="array" aca="1" ref="AV21" ca="1">IF(SMALL(IF(($F21:$AC21&lt;&gt;""),COLUMN($F21:$AC21),999),COLUMN(S:S))=999,"",OFFSET($F21,0,SMALL(IF(($F21:$AC21&lt;&gt;""),COLUMN($F21:$AC21),999),COLUMN(S:S))-6))</f>
        <v/>
      </c>
      <c r="AW21" s="78" t="str">
        <f t="array" aca="1" ref="AW21" ca="1">IF(SMALL(IF(($F21:$AC21&lt;&gt;""),COLUMN($F21:$AC21),999),COLUMN(T:T))=999,"",OFFSET($F21,0,SMALL(IF(($F21:$AC21&lt;&gt;""),COLUMN($F21:$AC21),999),COLUMN(T:T))-6))</f>
        <v/>
      </c>
      <c r="AX21" s="78" t="str">
        <f t="array" aca="1" ref="AX21" ca="1">IF(SMALL(IF(($F21:$AC21&lt;&gt;""),COLUMN($F21:$AC21),999),COLUMN(U:U))=999,"",OFFSET($F21,0,SMALL(IF(($F21:$AC21&lt;&gt;""),COLUMN($F21:$AC21),999),COLUMN(U:U))-6))</f>
        <v/>
      </c>
      <c r="AY21" s="78" t="str">
        <f t="array" aca="1" ref="AY21" ca="1">IF(SMALL(IF(($F21:$AC21&lt;&gt;""),COLUMN($F21:$AC21),999),COLUMN(V:V))=999,"",OFFSET($F21,0,SMALL(IF(($F21:$AC21&lt;&gt;""),COLUMN($F21:$AC21),999),COLUMN(V:V))-6))</f>
        <v/>
      </c>
      <c r="AZ21" s="78" t="str">
        <f t="array" aca="1" ref="AZ21" ca="1">IF(SMALL(IF(($F21:$AC21&lt;&gt;""),COLUMN($F21:$AC21),999),COLUMN(W:W))=999,"",OFFSET($F21,0,SMALL(IF(($F21:$AC21&lt;&gt;""),COLUMN($F21:$AC21),999),COLUMN(W:W))-6))</f>
        <v/>
      </c>
      <c r="BA21" s="78" t="str">
        <f t="array" aca="1" ref="BA21" ca="1">IF(SMALL(IF(($F21:$AC21&lt;&gt;""),COLUMN($F21:$AC21),999),COLUMN(X:X))=999,"",OFFSET($F21,0,SMALL(IF(($F21:$AC21&lt;&gt;""),COLUMN($F21:$AC21),999),COLUMN(X:X))-6))</f>
        <v/>
      </c>
    </row>
    <row r="22" spans="1:53" ht="26.45" customHeight="1" thickBot="1" x14ac:dyDescent="0.3">
      <c r="A22" s="84">
        <v>20</v>
      </c>
      <c r="B22" s="80"/>
      <c r="C22" s="87" t="str">
        <f t="array" ref="C22">IFERROR(INDEX(job_name,MATCH(B22,FMS_Job,0)),"--")</f>
        <v>--</v>
      </c>
      <c r="D22" s="87" t="str">
        <f t="array" ref="D22">IFERROR(INDEX(Lab_Reference,MATCH(B22,FMS_Job,0)),"--")</f>
        <v>--</v>
      </c>
      <c r="E22" s="292"/>
      <c r="F22" s="26" t="str">
        <f t="shared" si="0"/>
        <v/>
      </c>
      <c r="G22" s="26" t="str">
        <f t="shared" si="7"/>
        <v/>
      </c>
      <c r="H22" s="26" t="str">
        <f t="shared" si="7"/>
        <v/>
      </c>
      <c r="I22" s="26" t="str">
        <f t="shared" si="7"/>
        <v/>
      </c>
      <c r="J22" s="26" t="str">
        <f t="shared" si="7"/>
        <v/>
      </c>
      <c r="K22" s="26" t="str">
        <f t="shared" si="7"/>
        <v/>
      </c>
      <c r="L22" s="26" t="str">
        <f t="shared" si="3"/>
        <v/>
      </c>
      <c r="M22" s="26" t="str">
        <f t="shared" si="7"/>
        <v/>
      </c>
      <c r="N22" s="26" t="str">
        <f t="shared" si="7"/>
        <v/>
      </c>
      <c r="O22" s="26" t="str">
        <f t="shared" si="7"/>
        <v/>
      </c>
      <c r="P22" s="26" t="str">
        <f t="shared" si="7"/>
        <v/>
      </c>
      <c r="Q22" s="26" t="str">
        <f t="shared" si="7"/>
        <v/>
      </c>
      <c r="R22" s="26" t="str">
        <f t="shared" si="7"/>
        <v/>
      </c>
      <c r="S22" s="26" t="str">
        <f t="shared" si="7"/>
        <v/>
      </c>
      <c r="T22" s="26" t="str">
        <f t="shared" si="7"/>
        <v/>
      </c>
      <c r="U22" s="26" t="str">
        <f t="shared" si="7"/>
        <v/>
      </c>
      <c r="V22" s="26" t="str">
        <f t="shared" si="6"/>
        <v/>
      </c>
      <c r="W22" s="26" t="str">
        <f t="shared" si="6"/>
        <v/>
      </c>
      <c r="X22" s="26" t="str">
        <f t="shared" si="6"/>
        <v/>
      </c>
      <c r="Y22" s="26" t="str">
        <f t="shared" si="6"/>
        <v/>
      </c>
      <c r="Z22" s="26" t="str">
        <f t="shared" si="6"/>
        <v/>
      </c>
      <c r="AA22" s="26" t="str">
        <f t="shared" si="6"/>
        <v/>
      </c>
      <c r="AB22" s="26" t="str">
        <f t="shared" si="6"/>
        <v/>
      </c>
      <c r="AC22" s="26" t="str">
        <f t="shared" si="6"/>
        <v/>
      </c>
      <c r="AD22" s="78" t="str">
        <f t="array" aca="1" ref="AD22" ca="1">IF(SMALL(IF(($F22:$AC22&lt;&gt;""),COLUMN($F22:$AC22),999),COLUMN(A:A))=999,"",OFFSET($F22,0,SMALL(IF(($F22:$AC22&lt;&gt;""),COLUMN($F22:$AC22),999),COLUMN(A:A))-6))</f>
        <v/>
      </c>
      <c r="AE22" s="78" t="str">
        <f t="array" aca="1" ref="AE22" ca="1">IF(SMALL(IF(($F22:$AC22&lt;&gt;""),COLUMN($F22:$AC22),999),COLUMN(B:B))=999,"",OFFSET($F22,0,SMALL(IF(($F22:$AC22&lt;&gt;""),COLUMN($F22:$AC22),999),COLUMN(B:B))-6))</f>
        <v/>
      </c>
      <c r="AF22" s="78" t="str">
        <f t="array" aca="1" ref="AF22" ca="1">IF(SMALL(IF(($F22:$AC22&lt;&gt;""),COLUMN($F22:$AC22),999),COLUMN(C:C))=999,"",OFFSET($F22,0,SMALL(IF(($F22:$AC22&lt;&gt;""),COLUMN($F22:$AC22),999),COLUMN(C:C))-6))</f>
        <v/>
      </c>
      <c r="AG22" s="78" t="str">
        <f t="array" aca="1" ref="AG22" ca="1">IF(SMALL(IF(($F22:$AC22&lt;&gt;""),COLUMN($F22:$AC22),999),COLUMN(D:D))=999,"",OFFSET($F22,0,SMALL(IF(($F22:$AC22&lt;&gt;""),COLUMN($F22:$AC22),999),COLUMN(D:D))-6))</f>
        <v/>
      </c>
      <c r="AH22" s="78" t="str">
        <f t="array" aca="1" ref="AH22" ca="1">IF(SMALL(IF(($F22:$AC22&lt;&gt;""),COLUMN($F22:$AC22),999),COLUMN(E:E))=999,"",OFFSET($F22,0,SMALL(IF(($F22:$AC22&lt;&gt;""),COLUMN($F22:$AC22),999),COLUMN(E:E))-6))</f>
        <v/>
      </c>
      <c r="AI22" s="78" t="str">
        <f t="array" aca="1" ref="AI22" ca="1">IF(SMALL(IF(($F22:$AC22&lt;&gt;""),COLUMN($F22:$AC22),999),COLUMN(F:F))=999,"",OFFSET($F22,0,SMALL(IF(($F22:$AC22&lt;&gt;""),COLUMN($F22:$AC22),999),COLUMN(F:F))-6))</f>
        <v/>
      </c>
      <c r="AJ22" s="78" t="str">
        <f t="array" aca="1" ref="AJ22" ca="1">IF(SMALL(IF(($F22:$AC22&lt;&gt;""),COLUMN($F22:$AC22),999),COLUMN(G:G))=999,"",OFFSET($F22,0,SMALL(IF(($F22:$AC22&lt;&gt;""),COLUMN($F22:$AC22),999),COLUMN(G:G))-6))</f>
        <v/>
      </c>
      <c r="AK22" s="78" t="str">
        <f t="array" aca="1" ref="AK22" ca="1">IF(SMALL(IF(($F22:$AC22&lt;&gt;""),COLUMN($F22:$AC22),999),COLUMN(H:H))=999,"",OFFSET($F22,0,SMALL(IF(($F22:$AC22&lt;&gt;""),COLUMN($F22:$AC22),999),COLUMN(H:H))-6))</f>
        <v/>
      </c>
      <c r="AL22" s="78" t="str">
        <f t="array" aca="1" ref="AL22" ca="1">IF(SMALL(IF(($F22:$AC22&lt;&gt;""),COLUMN($F22:$AC22),999),COLUMN(I:I))=999,"",OFFSET($F22,0,SMALL(IF(($F22:$AC22&lt;&gt;""),COLUMN($F22:$AC22),999),COLUMN(I:I))-6))</f>
        <v/>
      </c>
      <c r="AM22" s="78" t="str">
        <f t="array" aca="1" ref="AM22" ca="1">IF(SMALL(IF(($F22:$AC22&lt;&gt;""),COLUMN($F22:$AC22),999),COLUMN(J:J))=999,"",OFFSET($F22,0,SMALL(IF(($F22:$AC22&lt;&gt;""),COLUMN($F22:$AC22),999),COLUMN(J:J))-6))</f>
        <v/>
      </c>
      <c r="AN22" s="78" t="str">
        <f t="array" aca="1" ref="AN22" ca="1">IF(SMALL(IF(($F22:$AC22&lt;&gt;""),COLUMN($F22:$AC22),999),COLUMN(K:K))=999,"",OFFSET($F22,0,SMALL(IF(($F22:$AC22&lt;&gt;""),COLUMN($F22:$AC22),999),COLUMN(K:K))-6))</f>
        <v/>
      </c>
      <c r="AO22" s="78" t="str">
        <f t="array" aca="1" ref="AO22" ca="1">IF(SMALL(IF(($F22:$AC22&lt;&gt;""),COLUMN($F22:$AC22),999),COLUMN(L:L))=999,"",OFFSET($F22,0,SMALL(IF(($F22:$AC22&lt;&gt;""),COLUMN($F22:$AC22),999),COLUMN(L:L))-6))</f>
        <v/>
      </c>
      <c r="AP22" s="78" t="str">
        <f t="array" aca="1" ref="AP22" ca="1">IF(SMALL(IF(($F22:$AC22&lt;&gt;""),COLUMN($F22:$AC22),999),COLUMN(M:M))=999,"",OFFSET($F22,0,SMALL(IF(($F22:$AC22&lt;&gt;""),COLUMN($F22:$AC22),999),COLUMN(M:M))-6))</f>
        <v/>
      </c>
      <c r="AQ22" s="78" t="str">
        <f t="array" aca="1" ref="AQ22" ca="1">IF(SMALL(IF(($F22:$AC22&lt;&gt;""),COLUMN($F22:$AC22),999),COLUMN(N:N))=999,"",OFFSET($F22,0,SMALL(IF(($F22:$AC22&lt;&gt;""),COLUMN($F22:$AC22),999),COLUMN(N:N))-6))</f>
        <v/>
      </c>
      <c r="AR22" s="78" t="str">
        <f t="array" aca="1" ref="AR22" ca="1">IF(SMALL(IF(($F22:$AC22&lt;&gt;""),COLUMN($F22:$AC22),999),COLUMN(O:O))=999,"",OFFSET($F22,0,SMALL(IF(($F22:$AC22&lt;&gt;""),COLUMN($F22:$AC22),999),COLUMN(O:O))-6))</f>
        <v/>
      </c>
      <c r="AS22" s="78" t="str">
        <f t="array" aca="1" ref="AS22" ca="1">IF(SMALL(IF(($F22:$AC22&lt;&gt;""),COLUMN($F22:$AC22),999),COLUMN(P:P))=999,"",OFFSET($F22,0,SMALL(IF(($F22:$AC22&lt;&gt;""),COLUMN($F22:$AC22),999),COLUMN(P:P))-6))</f>
        <v/>
      </c>
      <c r="AT22" s="78" t="str">
        <f t="array" aca="1" ref="AT22" ca="1">IF(SMALL(IF(($F22:$AC22&lt;&gt;""),COLUMN($F22:$AC22),999),COLUMN(Q:Q))=999,"",OFFSET($F22,0,SMALL(IF(($F22:$AC22&lt;&gt;""),COLUMN($F22:$AC22),999),COLUMN(Q:Q))-6))</f>
        <v/>
      </c>
      <c r="AU22" s="78" t="str">
        <f t="array" aca="1" ref="AU22" ca="1">IF(SMALL(IF(($F22:$AC22&lt;&gt;""),COLUMN($F22:$AC22),999),COLUMN(R:R))=999,"",OFFSET($F22,0,SMALL(IF(($F22:$AC22&lt;&gt;""),COLUMN($F22:$AC22),999),COLUMN(R:R))-6))</f>
        <v/>
      </c>
      <c r="AV22" s="78" t="str">
        <f t="array" aca="1" ref="AV22" ca="1">IF(SMALL(IF(($F22:$AC22&lt;&gt;""),COLUMN($F22:$AC22),999),COLUMN(S:S))=999,"",OFFSET($F22,0,SMALL(IF(($F22:$AC22&lt;&gt;""),COLUMN($F22:$AC22),999),COLUMN(S:S))-6))</f>
        <v/>
      </c>
      <c r="AW22" s="78" t="str">
        <f t="array" aca="1" ref="AW22" ca="1">IF(SMALL(IF(($F22:$AC22&lt;&gt;""),COLUMN($F22:$AC22),999),COLUMN(T:T))=999,"",OFFSET($F22,0,SMALL(IF(($F22:$AC22&lt;&gt;""),COLUMN($F22:$AC22),999),COLUMN(T:T))-6))</f>
        <v/>
      </c>
      <c r="AX22" s="78" t="str">
        <f t="array" aca="1" ref="AX22" ca="1">IF(SMALL(IF(($F22:$AC22&lt;&gt;""),COLUMN($F22:$AC22),999),COLUMN(U:U))=999,"",OFFSET($F22,0,SMALL(IF(($F22:$AC22&lt;&gt;""),COLUMN($F22:$AC22),999),COLUMN(U:U))-6))</f>
        <v/>
      </c>
      <c r="AY22" s="78" t="str">
        <f t="array" aca="1" ref="AY22" ca="1">IF(SMALL(IF(($F22:$AC22&lt;&gt;""),COLUMN($F22:$AC22),999),COLUMN(V:V))=999,"",OFFSET($F22,0,SMALL(IF(($F22:$AC22&lt;&gt;""),COLUMN($F22:$AC22),999),COLUMN(V:V))-6))</f>
        <v/>
      </c>
      <c r="AZ22" s="78" t="str">
        <f t="array" aca="1" ref="AZ22" ca="1">IF(SMALL(IF(($F22:$AC22&lt;&gt;""),COLUMN($F22:$AC22),999),COLUMN(W:W))=999,"",OFFSET($F22,0,SMALL(IF(($F22:$AC22&lt;&gt;""),COLUMN($F22:$AC22),999),COLUMN(W:W))-6))</f>
        <v/>
      </c>
      <c r="BA22" s="78" t="str">
        <f t="array" aca="1" ref="BA22" ca="1">IF(SMALL(IF(($F22:$AC22&lt;&gt;""),COLUMN($F22:$AC22),999),COLUMN(X:X))=999,"",OFFSET($F22,0,SMALL(IF(($F22:$AC22&lt;&gt;""),COLUMN($F22:$AC22),999),COLUMN(X:X))-6))</f>
        <v/>
      </c>
    </row>
    <row r="23" spans="1:53" x14ac:dyDescent="0.25">
      <c r="F23" s="26">
        <f>COUNTIF(F$3:F$22,F1)</f>
        <v>0</v>
      </c>
      <c r="G23" s="26">
        <f t="shared" ref="G23:AC23" si="8">COUNTIF(G$3:G$22,G1)</f>
        <v>0</v>
      </c>
      <c r="H23" s="26">
        <f t="shared" si="8"/>
        <v>0</v>
      </c>
      <c r="I23" s="26">
        <f t="shared" si="8"/>
        <v>0</v>
      </c>
      <c r="J23" s="26">
        <f t="shared" si="8"/>
        <v>0</v>
      </c>
      <c r="K23" s="26">
        <f>COUNTIF(K$3:K$22,K1)</f>
        <v>0</v>
      </c>
      <c r="L23" s="26">
        <f>COUNTIF(L$3:L$22,L1)</f>
        <v>0</v>
      </c>
      <c r="M23" s="26">
        <f t="shared" si="8"/>
        <v>0</v>
      </c>
      <c r="N23" s="26">
        <f t="shared" si="8"/>
        <v>0</v>
      </c>
      <c r="O23" s="26">
        <f t="shared" si="8"/>
        <v>0</v>
      </c>
      <c r="P23" s="26">
        <f t="shared" si="8"/>
        <v>0</v>
      </c>
      <c r="Q23" s="26">
        <f t="shared" si="8"/>
        <v>0</v>
      </c>
      <c r="R23" s="26">
        <f t="shared" si="8"/>
        <v>0</v>
      </c>
      <c r="S23" s="26">
        <f t="shared" si="8"/>
        <v>0</v>
      </c>
      <c r="T23" s="26">
        <f t="shared" si="8"/>
        <v>0</v>
      </c>
      <c r="U23" s="26">
        <f t="shared" si="8"/>
        <v>0</v>
      </c>
      <c r="V23" s="26">
        <f t="shared" si="8"/>
        <v>0</v>
      </c>
      <c r="W23" s="26">
        <f t="shared" si="8"/>
        <v>0</v>
      </c>
      <c r="X23" s="26">
        <f t="shared" si="8"/>
        <v>0</v>
      </c>
      <c r="Y23" s="26">
        <f t="shared" ref="Y23:Z23" si="9">COUNTIF(Y$3:Y$22,Y1)</f>
        <v>0</v>
      </c>
      <c r="Z23" s="26">
        <f t="shared" si="9"/>
        <v>0</v>
      </c>
      <c r="AA23" s="26">
        <f t="shared" si="8"/>
        <v>0</v>
      </c>
      <c r="AB23" s="26">
        <f t="shared" ref="AB23" si="10">COUNTIF(AB$3:AB$22,AB1)</f>
        <v>0</v>
      </c>
      <c r="AC23" s="26">
        <f t="shared" si="8"/>
        <v>0</v>
      </c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</row>
  </sheetData>
  <sheetProtection sheet="1" sort="0" autoFilter="0"/>
  <mergeCells count="6">
    <mergeCell ref="AD1:BA2"/>
    <mergeCell ref="A1:A2"/>
    <mergeCell ref="B1:B2"/>
    <mergeCell ref="C1:C2"/>
    <mergeCell ref="D1:D2"/>
    <mergeCell ref="E1:E2"/>
  </mergeCells>
  <phoneticPr fontId="2" type="noConversion"/>
  <conditionalFormatting sqref="F23:J23 L23:AC23">
    <cfRule type="containsText" dxfId="16" priority="19" operator="containsText" text="&quot;砷">
      <formula>NOT(ISERROR(SEARCH("""砷",F23)))</formula>
    </cfRule>
  </conditionalFormatting>
  <conditionalFormatting sqref="E3:E21">
    <cfRule type="containsText" dxfId="15" priority="16" operator="containsText" text="總則 (ICP-OES)">
      <formula>NOT(ISERROR(SEARCH("總則 (ICP-OES)",E3)))</formula>
    </cfRule>
    <cfRule type="containsText" dxfId="14" priority="17" operator="containsText" text="中藥">
      <formula>NOT(ISERROR(SEARCH("中藥",E3)))</formula>
    </cfRule>
    <cfRule type="containsText" dxfId="13" priority="18" operator="containsText" text="營養標示NUTRITION FACT - 台灣8大(Na)">
      <formula>NOT(ISERROR(SEARCH("營養標示NUTRITION FACT - 台灣8大(Na)",E3)))</formula>
    </cfRule>
  </conditionalFormatting>
  <conditionalFormatting sqref="AD23:AU23 AD3:AX22">
    <cfRule type="containsText" dxfId="12" priority="14" operator="containsText" text="&quot;砷">
      <formula>NOT(ISERROR(SEARCH("""砷",AD3)))</formula>
    </cfRule>
  </conditionalFormatting>
  <conditionalFormatting sqref="K23">
    <cfRule type="containsText" dxfId="11" priority="8" operator="containsText" text="&quot;砷">
      <formula>NOT(ISERROR(SEARCH("""砷",K23)))</formula>
    </cfRule>
  </conditionalFormatting>
  <conditionalFormatting sqref="AY3:AY22">
    <cfRule type="containsText" dxfId="10" priority="3" operator="containsText" text="&quot;砷">
      <formula>NOT(ISERROR(SEARCH("""砷",AY3)))</formula>
    </cfRule>
  </conditionalFormatting>
  <conditionalFormatting sqref="AZ3:AZ22">
    <cfRule type="containsText" dxfId="9" priority="2" operator="containsText" text="&quot;砷">
      <formula>NOT(ISERROR(SEARCH("""砷",AZ3)))</formula>
    </cfRule>
  </conditionalFormatting>
  <conditionalFormatting sqref="BA3:BA22">
    <cfRule type="containsText" dxfId="8" priority="1" operator="containsText" text="&quot;砷">
      <formula>NOT(ISERROR(SEARCH("""砷",BA3)))</formula>
    </cfRule>
  </conditionalFormatting>
  <pageMargins left="0.7" right="0.7" top="0.75" bottom="0.75" header="0.3" footer="0.3"/>
  <pageSetup paperSize="9" scale="2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B58"/>
  <sheetViews>
    <sheetView tabSelected="1" view="pageBreakPreview" zoomScaleNormal="100" zoomScaleSheetLayoutView="100" workbookViewId="0"/>
  </sheetViews>
  <sheetFormatPr defaultColWidth="9.140625" defaultRowHeight="15" x14ac:dyDescent="0.25"/>
  <cols>
    <col min="1" max="1" width="10.28515625" style="30" customWidth="1"/>
    <col min="2" max="2" width="5.140625" style="30" customWidth="1"/>
    <col min="3" max="4" width="3.7109375" style="30" customWidth="1"/>
    <col min="5" max="5" width="4.140625" style="30" customWidth="1"/>
    <col min="6" max="6" width="4.42578125" style="30" customWidth="1"/>
    <col min="7" max="30" width="3.7109375" style="30" customWidth="1"/>
    <col min="31" max="31" width="3.7109375" style="30" hidden="1" customWidth="1"/>
    <col min="32" max="32" width="14" style="30" customWidth="1"/>
    <col min="33" max="33" width="3.7109375" style="30" customWidth="1"/>
    <col min="34" max="35" width="4.7109375" style="30" customWidth="1"/>
    <col min="36" max="54" width="3.7109375" style="30" customWidth="1"/>
    <col min="55" max="16384" width="9.140625" style="30"/>
  </cols>
  <sheetData>
    <row r="1" spans="1:51" ht="15.75" x14ac:dyDescent="0.25">
      <c r="B1" s="31"/>
      <c r="C1" s="31"/>
      <c r="D1" s="31"/>
      <c r="E1" s="31"/>
      <c r="F1" s="31"/>
      <c r="G1" s="32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51" ht="21" x14ac:dyDescent="0.25">
      <c r="B2" s="416" t="s">
        <v>85</v>
      </c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417"/>
      <c r="T2" s="417"/>
      <c r="U2" s="417"/>
      <c r="V2" s="417"/>
      <c r="W2" s="417"/>
      <c r="X2" s="417"/>
      <c r="Y2" s="417"/>
      <c r="Z2" s="417"/>
      <c r="AA2" s="417"/>
      <c r="AB2" s="417"/>
      <c r="AC2" s="417"/>
      <c r="AD2" s="417"/>
      <c r="AE2" s="45"/>
      <c r="AF2" s="39"/>
      <c r="AG2" s="45"/>
      <c r="AH2" s="30" t="s">
        <v>16</v>
      </c>
      <c r="AI2" s="30" t="s">
        <v>17</v>
      </c>
    </row>
    <row r="3" spans="1:51" ht="16.5" customHeight="1" x14ac:dyDescent="0.25">
      <c r="B3" s="439" t="s">
        <v>164</v>
      </c>
      <c r="C3" s="439"/>
      <c r="D3" s="439"/>
      <c r="E3" s="440" t="s">
        <v>449</v>
      </c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33"/>
      <c r="Z3" s="33"/>
      <c r="AA3" s="33"/>
      <c r="AB3" s="33"/>
      <c r="AC3" s="33"/>
      <c r="AD3" s="33"/>
      <c r="AE3" s="33"/>
      <c r="AF3" s="111" t="str">
        <f>INDEX(代號,MATCH($E$3,Method,0))</f>
        <v>F</v>
      </c>
      <c r="AG3" s="34"/>
      <c r="AH3" s="114"/>
      <c r="AI3" s="48"/>
      <c r="AJ3" s="382" t="s">
        <v>205</v>
      </c>
      <c r="AK3" s="383"/>
      <c r="AL3" s="383"/>
      <c r="AM3" s="383"/>
      <c r="AN3" s="383"/>
      <c r="AO3" s="383"/>
      <c r="AP3" s="383"/>
      <c r="AQ3" s="383"/>
      <c r="AR3" s="383"/>
      <c r="AS3" s="383"/>
      <c r="AT3" s="383"/>
      <c r="AU3" s="383"/>
      <c r="AV3" s="383"/>
      <c r="AW3" s="383"/>
      <c r="AX3" s="383"/>
      <c r="AY3" s="383"/>
    </row>
    <row r="4" spans="1:51" ht="15.75" x14ac:dyDescent="0.25">
      <c r="A4" s="300" t="s">
        <v>428</v>
      </c>
      <c r="B4" s="439"/>
      <c r="C4" s="439"/>
      <c r="D4" s="439"/>
      <c r="E4" s="440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  <c r="X4" s="440"/>
      <c r="Y4" s="336" t="s">
        <v>243</v>
      </c>
      <c r="Z4" s="336"/>
      <c r="AA4" s="432" t="s">
        <v>426</v>
      </c>
      <c r="AB4" s="432"/>
      <c r="AC4" s="432"/>
      <c r="AD4" s="432"/>
      <c r="AE4" s="95"/>
      <c r="AF4" s="111" t="str">
        <f>TEXT(AA4,"yymmdd")</f>
        <v>YYYY/MM/DD</v>
      </c>
      <c r="AG4" s="35"/>
      <c r="AH4" s="115" t="s">
        <v>74</v>
      </c>
      <c r="AI4" s="48"/>
      <c r="AJ4" s="383" t="s">
        <v>196</v>
      </c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</row>
    <row r="5" spans="1:51" ht="16.5" x14ac:dyDescent="0.25">
      <c r="A5" s="301" t="s">
        <v>0</v>
      </c>
      <c r="B5" s="90" t="s">
        <v>165</v>
      </c>
      <c r="C5" s="90"/>
      <c r="D5" s="90"/>
      <c r="E5" s="431" t="s">
        <v>359</v>
      </c>
      <c r="F5" s="408"/>
      <c r="G5" s="408"/>
      <c r="H5" s="408"/>
      <c r="I5" s="408"/>
      <c r="J5" s="38" t="s">
        <v>207</v>
      </c>
      <c r="K5" s="431" t="s">
        <v>359</v>
      </c>
      <c r="L5" s="408"/>
      <c r="M5" s="408"/>
      <c r="N5" s="408"/>
      <c r="O5" s="408"/>
      <c r="Y5" s="407" t="s">
        <v>36</v>
      </c>
      <c r="Z5" s="336"/>
      <c r="AA5" s="408">
        <v>1</v>
      </c>
      <c r="AB5" s="408"/>
      <c r="AC5" s="62"/>
      <c r="AD5" s="62"/>
      <c r="AE5" s="62"/>
      <c r="AF5" s="111" t="str">
        <f>IF(AA5&gt;1,"-"&amp;AA5,"")</f>
        <v/>
      </c>
      <c r="AH5" s="115" t="s">
        <v>72</v>
      </c>
      <c r="AI5" s="48"/>
      <c r="AJ5" s="383" t="s">
        <v>197</v>
      </c>
      <c r="AK5" s="383"/>
      <c r="AL5" s="383"/>
      <c r="AM5" s="383"/>
      <c r="AN5" s="383"/>
      <c r="AO5" s="383"/>
      <c r="AP5" s="383"/>
      <c r="AQ5" s="383"/>
      <c r="AR5" s="383"/>
      <c r="AS5" s="383"/>
      <c r="AT5" s="383"/>
      <c r="AU5" s="383"/>
      <c r="AV5" s="383"/>
      <c r="AW5" s="383"/>
      <c r="AX5" s="383"/>
      <c r="AY5" s="383"/>
    </row>
    <row r="6" spans="1:51" ht="8.4499999999999993" customHeight="1" thickBot="1" x14ac:dyDescent="0.3"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H6" s="115" t="s">
        <v>73</v>
      </c>
      <c r="AI6" s="48"/>
      <c r="AJ6" s="383" t="s">
        <v>198</v>
      </c>
      <c r="AK6" s="383"/>
      <c r="AL6" s="383"/>
      <c r="AM6" s="383"/>
      <c r="AN6" s="383"/>
      <c r="AO6" s="383"/>
      <c r="AP6" s="383"/>
      <c r="AQ6" s="383"/>
      <c r="AR6" s="383"/>
      <c r="AS6" s="383"/>
      <c r="AT6" s="383"/>
      <c r="AU6" s="383"/>
      <c r="AV6" s="383"/>
      <c r="AW6" s="383"/>
      <c r="AX6" s="383"/>
      <c r="AY6" s="383"/>
    </row>
    <row r="7" spans="1:51" ht="17.100000000000001" customHeight="1" thickBot="1" x14ac:dyDescent="0.3">
      <c r="A7" s="306" t="s">
        <v>375</v>
      </c>
      <c r="B7" s="418" t="s">
        <v>20</v>
      </c>
      <c r="C7" s="419"/>
      <c r="D7" s="419"/>
      <c r="E7" s="419"/>
      <c r="F7" s="419"/>
      <c r="G7" s="419"/>
      <c r="H7" s="419"/>
      <c r="I7" s="419"/>
      <c r="J7" s="419"/>
      <c r="K7" s="419"/>
      <c r="L7" s="419"/>
      <c r="M7" s="419"/>
      <c r="N7" s="420"/>
      <c r="O7" s="418" t="s">
        <v>228</v>
      </c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20"/>
      <c r="AE7" s="94"/>
      <c r="AH7" s="115">
        <v>-1</v>
      </c>
      <c r="AI7" s="48"/>
      <c r="AJ7" s="383" t="s">
        <v>199</v>
      </c>
      <c r="AK7" s="383"/>
      <c r="AL7" s="383"/>
      <c r="AM7" s="383"/>
      <c r="AN7" s="383"/>
      <c r="AO7" s="383"/>
      <c r="AP7" s="383"/>
      <c r="AQ7" s="383"/>
      <c r="AR7" s="383"/>
      <c r="AS7" s="383"/>
      <c r="AT7" s="383"/>
      <c r="AU7" s="383"/>
      <c r="AV7" s="383"/>
      <c r="AW7" s="383"/>
      <c r="AX7" s="383"/>
      <c r="AY7" s="383"/>
    </row>
    <row r="8" spans="1:51" ht="17.100000000000001" customHeight="1" x14ac:dyDescent="0.25">
      <c r="A8" s="307">
        <f>IF(COUNTIF($E$3,"*714*"),0,IF(COUNTIF($E$3,"*738*"),2,1))</f>
        <v>1</v>
      </c>
      <c r="B8" s="362" t="s">
        <v>229</v>
      </c>
      <c r="C8" s="363"/>
      <c r="D8" s="363"/>
      <c r="E8" s="436" t="s">
        <v>138</v>
      </c>
      <c r="F8" s="436"/>
      <c r="G8" s="367" t="s">
        <v>257</v>
      </c>
      <c r="H8" s="368"/>
      <c r="I8" s="368"/>
      <c r="J8" s="309" t="s">
        <v>136</v>
      </c>
      <c r="K8" s="364" t="str">
        <f>IFERROR(INDEX(硝酸,MATCH(E3,Method,0)),"--")</f>
        <v>--</v>
      </c>
      <c r="L8" s="364"/>
      <c r="M8" s="364"/>
      <c r="N8" s="106" t="s">
        <v>134</v>
      </c>
      <c r="O8" s="91" t="s">
        <v>160</v>
      </c>
      <c r="P8" s="92"/>
      <c r="Q8" s="92"/>
      <c r="R8" s="92"/>
      <c r="S8" s="284" t="str">
        <f t="shared" ref="S8:S13" si="0">IF(A8=1,$AI$2,$AH$2)</f>
        <v>■</v>
      </c>
      <c r="T8" s="93" t="s">
        <v>5</v>
      </c>
      <c r="U8" s="93"/>
      <c r="V8" s="284" t="str">
        <f>IF(A8=2,$AI$2,$AH$2)</f>
        <v>□</v>
      </c>
      <c r="W8" s="93" t="s">
        <v>427</v>
      </c>
      <c r="X8" s="93"/>
      <c r="Y8" s="284" t="str">
        <f>IF(A8=3,$AI$2,$AH$2)</f>
        <v>□</v>
      </c>
      <c r="Z8" s="368" t="s">
        <v>445</v>
      </c>
      <c r="AA8" s="368"/>
      <c r="AB8" s="368"/>
      <c r="AC8" s="93"/>
      <c r="AD8" s="278"/>
      <c r="AF8" s="369" t="s">
        <v>166</v>
      </c>
      <c r="AG8" s="370"/>
      <c r="AH8" s="115">
        <v>-2</v>
      </c>
      <c r="AI8" s="48"/>
      <c r="AJ8" s="383" t="s">
        <v>200</v>
      </c>
      <c r="AK8" s="383"/>
      <c r="AL8" s="383"/>
      <c r="AM8" s="383"/>
      <c r="AN8" s="383"/>
      <c r="AO8" s="383"/>
      <c r="AP8" s="383"/>
      <c r="AQ8" s="383"/>
      <c r="AR8" s="383"/>
      <c r="AS8" s="383"/>
      <c r="AT8" s="383"/>
      <c r="AU8" s="383"/>
      <c r="AV8" s="383"/>
      <c r="AW8" s="383"/>
      <c r="AX8" s="383"/>
      <c r="AY8" s="383"/>
    </row>
    <row r="9" spans="1:51" ht="17.100000000000001" customHeight="1" x14ac:dyDescent="0.25">
      <c r="A9" s="307">
        <f>IF(OR(COUNTIF($E$3,"*740*"),COUNTIF($E$3,"*738*")),3,IF(COUNTIF($E$3,"*714*"),0,IF($A$5="V",1,2)))</f>
        <v>2</v>
      </c>
      <c r="B9" s="441" t="s">
        <v>230</v>
      </c>
      <c r="C9" s="407"/>
      <c r="D9" s="407"/>
      <c r="E9" s="336" t="s">
        <v>137</v>
      </c>
      <c r="F9" s="336"/>
      <c r="G9" s="433" t="s">
        <v>359</v>
      </c>
      <c r="H9" s="415"/>
      <c r="I9" s="415"/>
      <c r="J9" s="309" t="s">
        <v>135</v>
      </c>
      <c r="K9" s="365">
        <f t="array" ref="K9">IFERROR(INDEX(超純硝酸,MATCH(E3,Method,0)),"--")</f>
        <v>12</v>
      </c>
      <c r="L9" s="365"/>
      <c r="M9" s="365"/>
      <c r="N9" s="107" t="s">
        <v>134</v>
      </c>
      <c r="O9" s="88" t="s">
        <v>161</v>
      </c>
      <c r="P9" s="89"/>
      <c r="Q9" s="89"/>
      <c r="R9" s="89"/>
      <c r="S9" s="285" t="str">
        <f t="shared" si="0"/>
        <v>□</v>
      </c>
      <c r="T9" s="33" t="s">
        <v>6</v>
      </c>
      <c r="U9" s="33"/>
      <c r="V9" s="285" t="str">
        <f>IF(A9=2,$AI$2,$AH$2)</f>
        <v>■</v>
      </c>
      <c r="W9" s="33" t="s">
        <v>7</v>
      </c>
      <c r="X9" s="33"/>
      <c r="Y9" s="285" t="str">
        <f>IF(A9=3,$AI$2,$AH$2)</f>
        <v>□</v>
      </c>
      <c r="Z9" s="415" t="s">
        <v>448</v>
      </c>
      <c r="AA9" s="415"/>
      <c r="AB9" s="415"/>
      <c r="AC9" s="33"/>
      <c r="AD9" s="279"/>
      <c r="AF9" s="149" t="s">
        <v>15</v>
      </c>
      <c r="AG9" s="113" t="s">
        <v>2</v>
      </c>
      <c r="AH9" s="115">
        <v>-3</v>
      </c>
      <c r="AI9" s="48"/>
      <c r="AJ9" s="383" t="s">
        <v>201</v>
      </c>
      <c r="AK9" s="383"/>
      <c r="AL9" s="383"/>
      <c r="AM9" s="383"/>
      <c r="AN9" s="383"/>
      <c r="AO9" s="383"/>
      <c r="AP9" s="383"/>
      <c r="AQ9" s="383"/>
      <c r="AR9" s="383"/>
      <c r="AS9" s="383"/>
      <c r="AT9" s="383"/>
      <c r="AU9" s="383"/>
      <c r="AV9" s="383"/>
      <c r="AW9" s="383"/>
      <c r="AX9" s="383"/>
      <c r="AY9" s="383"/>
    </row>
    <row r="10" spans="1:51" ht="17.100000000000001" customHeight="1" x14ac:dyDescent="0.25">
      <c r="A10" s="307">
        <f>IF(COUNTIF($E$3,"*714*"),0,IF(OR(COUNTIF($E$3,"*740*"),COUNTIF($E$3,"*738*")),2,1))</f>
        <v>1</v>
      </c>
      <c r="B10" s="441" t="s">
        <v>139</v>
      </c>
      <c r="C10" s="407"/>
      <c r="D10" s="407"/>
      <c r="E10" s="336" t="s">
        <v>279</v>
      </c>
      <c r="F10" s="336"/>
      <c r="G10" s="433" t="s">
        <v>142</v>
      </c>
      <c r="H10" s="415"/>
      <c r="I10" s="415"/>
      <c r="J10" s="309" t="s">
        <v>135</v>
      </c>
      <c r="K10" s="365" t="str">
        <f t="array" ref="K10">IFERROR(INDEX(鹽酸,MATCH(E3,Method,0)),"--")</f>
        <v>--</v>
      </c>
      <c r="L10" s="365"/>
      <c r="M10" s="365"/>
      <c r="N10" s="107" t="s">
        <v>134</v>
      </c>
      <c r="O10" s="88" t="s">
        <v>446</v>
      </c>
      <c r="P10" s="89"/>
      <c r="Q10" s="89"/>
      <c r="R10" s="89"/>
      <c r="S10" s="285" t="str">
        <f t="shared" si="0"/>
        <v>■</v>
      </c>
      <c r="T10" s="33" t="s">
        <v>8</v>
      </c>
      <c r="U10" s="33"/>
      <c r="V10" s="33"/>
      <c r="W10" s="33"/>
      <c r="X10" s="285" t="str">
        <f>IF(A10=2,$AI$2,$AH$2)</f>
        <v>□</v>
      </c>
      <c r="Y10" s="408" t="s">
        <v>376</v>
      </c>
      <c r="Z10" s="415"/>
      <c r="AA10" s="415"/>
      <c r="AB10" s="33"/>
      <c r="AC10" s="33"/>
      <c r="AD10" s="279"/>
      <c r="AF10" s="149" t="s">
        <v>360</v>
      </c>
      <c r="AG10" s="113" t="s">
        <v>1</v>
      </c>
      <c r="AH10" s="115">
        <v>-4</v>
      </c>
      <c r="AI10" s="48"/>
      <c r="AJ10" s="383" t="s">
        <v>202</v>
      </c>
      <c r="AK10" s="383"/>
      <c r="AL10" s="383"/>
      <c r="AM10" s="383"/>
      <c r="AN10" s="383"/>
      <c r="AO10" s="383"/>
      <c r="AP10" s="383"/>
      <c r="AQ10" s="383"/>
      <c r="AR10" s="383"/>
      <c r="AS10" s="383"/>
      <c r="AT10" s="383"/>
      <c r="AU10" s="383"/>
      <c r="AV10" s="383"/>
      <c r="AW10" s="383"/>
      <c r="AX10" s="383"/>
      <c r="AY10" s="383"/>
    </row>
    <row r="11" spans="1:51" ht="17.100000000000001" customHeight="1" x14ac:dyDescent="0.25">
      <c r="A11" s="307"/>
      <c r="B11" s="441" t="s">
        <v>140</v>
      </c>
      <c r="C11" s="407"/>
      <c r="D11" s="407"/>
      <c r="E11" s="336" t="s">
        <v>450</v>
      </c>
      <c r="F11" s="336"/>
      <c r="G11" s="433" t="s">
        <v>142</v>
      </c>
      <c r="H11" s="415"/>
      <c r="I11" s="415"/>
      <c r="J11" s="309" t="s">
        <v>135</v>
      </c>
      <c r="K11" s="365" t="str">
        <f t="array" ref="K11">IFERROR(INDEX(氫氟酸,MATCH(E3,Method,0)),"--")</f>
        <v>--</v>
      </c>
      <c r="L11" s="365"/>
      <c r="M11" s="365"/>
      <c r="N11" s="107" t="s">
        <v>134</v>
      </c>
      <c r="O11" s="88"/>
      <c r="P11" s="89"/>
      <c r="Q11" s="89"/>
      <c r="R11" s="89"/>
      <c r="S11" s="285" t="str">
        <f t="shared" si="0"/>
        <v>□</v>
      </c>
      <c r="T11" s="33" t="s">
        <v>9</v>
      </c>
      <c r="U11" s="33"/>
      <c r="V11" s="33"/>
      <c r="W11" s="33"/>
      <c r="X11" s="33"/>
      <c r="Y11" s="33"/>
      <c r="Z11" s="33"/>
      <c r="AA11" s="33"/>
      <c r="AB11" s="33"/>
      <c r="AC11" s="33"/>
      <c r="AD11" s="279"/>
      <c r="AF11" s="189" t="s">
        <v>361</v>
      </c>
      <c r="AG11" s="113" t="s">
        <v>1</v>
      </c>
      <c r="AH11" s="115">
        <v>-5</v>
      </c>
      <c r="AI11" s="48"/>
      <c r="AJ11" s="383" t="s">
        <v>203</v>
      </c>
      <c r="AK11" s="383"/>
      <c r="AL11" s="383"/>
      <c r="AM11" s="383"/>
      <c r="AN11" s="383"/>
      <c r="AO11" s="383"/>
      <c r="AP11" s="383"/>
      <c r="AQ11" s="383"/>
      <c r="AR11" s="383"/>
      <c r="AS11" s="383"/>
      <c r="AT11" s="383"/>
      <c r="AU11" s="383"/>
      <c r="AV11" s="383"/>
      <c r="AW11" s="383"/>
      <c r="AX11" s="383"/>
      <c r="AY11" s="383"/>
    </row>
    <row r="12" spans="1:51" ht="17.100000000000001" customHeight="1" x14ac:dyDescent="0.25">
      <c r="A12" s="307">
        <f>IF(COUNTIF($A$42,"HP*"),1,0)</f>
        <v>0</v>
      </c>
      <c r="B12" s="441" t="str">
        <f>IF(E3=測試方法!A34,"去離子水","過氧化氫")</f>
        <v>過氧化氫</v>
      </c>
      <c r="C12" s="407"/>
      <c r="D12" s="407"/>
      <c r="E12" s="336" t="s">
        <v>439</v>
      </c>
      <c r="F12" s="336"/>
      <c r="G12" s="433" t="s">
        <v>257</v>
      </c>
      <c r="H12" s="415"/>
      <c r="I12" s="415"/>
      <c r="J12" s="309" t="s">
        <v>135</v>
      </c>
      <c r="K12" s="365" t="str">
        <f t="array" ref="K12">IFERROR(INDEX(測試方法!A1:J38,MATCH(E3,測試方法!A1:A38,0),MATCH(B12,測試方法!A2:J2,0)),"--")</f>
        <v>--</v>
      </c>
      <c r="L12" s="365"/>
      <c r="M12" s="365"/>
      <c r="N12" s="107" t="s">
        <v>134</v>
      </c>
      <c r="O12" s="88" t="s">
        <v>162</v>
      </c>
      <c r="P12" s="89"/>
      <c r="Q12" s="89"/>
      <c r="R12" s="89"/>
      <c r="S12" s="285" t="str">
        <f t="shared" si="0"/>
        <v>□</v>
      </c>
      <c r="T12" s="30" t="s">
        <v>434</v>
      </c>
      <c r="U12" s="33"/>
      <c r="V12" s="285" t="str">
        <f>IF(A12=2,$AI$2,$AH$2)</f>
        <v>□</v>
      </c>
      <c r="W12" s="33" t="s">
        <v>435</v>
      </c>
      <c r="X12" s="33"/>
      <c r="Y12" s="285" t="str">
        <f>IF(A12=3,$AI$2,$AH$2)</f>
        <v>□</v>
      </c>
      <c r="Z12" s="408"/>
      <c r="AA12" s="408"/>
      <c r="AB12" s="408"/>
      <c r="AC12" s="33"/>
      <c r="AD12" s="279"/>
      <c r="AF12" s="190"/>
      <c r="AG12" s="113" t="s">
        <v>1</v>
      </c>
      <c r="AH12" s="115">
        <v>-6</v>
      </c>
      <c r="AI12" s="48"/>
      <c r="AJ12" s="383" t="s">
        <v>204</v>
      </c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</row>
    <row r="13" spans="1:51" ht="20.25" customHeight="1" thickBot="1" x14ac:dyDescent="0.3">
      <c r="A13" s="307">
        <f>IF(COUNTIF($A$42,"ASH"),1,0)</f>
        <v>0</v>
      </c>
      <c r="B13" s="441" t="s">
        <v>141</v>
      </c>
      <c r="C13" s="407"/>
      <c r="D13" s="407"/>
      <c r="E13" s="337" t="str">
        <f>IF(COUNTIF($E$3,"*706*"),"I706-IS- ",IF(COUNTIF($E$3,"*708*"),"I708-IS- ",IF(COUNTIF($E$3,"*710*"),"I710-IS- ",IF(OR(COUNTIF($E$3,"*740*"),COUNTIF($E$3,"*741*")),"I998-IS-",IF(COUNTIF($E$3,"*746*"),"I746-IS- ","I999-IS- ")))))</f>
        <v xml:space="preserve">I999-IS- </v>
      </c>
      <c r="F13" s="337"/>
      <c r="G13" s="434" t="s">
        <v>359</v>
      </c>
      <c r="H13" s="435"/>
      <c r="I13" s="435"/>
      <c r="J13" s="309" t="s">
        <v>135</v>
      </c>
      <c r="K13" s="366">
        <f>IFERROR(INDEX(內標,MATCH(E3,Method,0)),"--")</f>
        <v>25</v>
      </c>
      <c r="L13" s="366"/>
      <c r="M13" s="366"/>
      <c r="N13" s="107" t="s">
        <v>447</v>
      </c>
      <c r="O13" s="280" t="s">
        <v>163</v>
      </c>
      <c r="P13" s="281"/>
      <c r="Q13" s="281"/>
      <c r="R13" s="281"/>
      <c r="S13" s="286" t="str">
        <f t="shared" si="0"/>
        <v>□</v>
      </c>
      <c r="T13" s="282" t="s">
        <v>430</v>
      </c>
      <c r="U13" s="282"/>
      <c r="V13" s="286" t="str">
        <f>IF(A13=2,$AI$2,$AH$2)</f>
        <v>□</v>
      </c>
      <c r="W13" s="282" t="s">
        <v>431</v>
      </c>
      <c r="X13" s="282"/>
      <c r="Y13" s="286" t="str">
        <f>IF(A13=3,$AI$2,$AH$2)</f>
        <v>□</v>
      </c>
      <c r="Z13" s="435" t="s">
        <v>432</v>
      </c>
      <c r="AA13" s="435"/>
      <c r="AB13" s="435"/>
      <c r="AC13" s="282"/>
      <c r="AD13" s="283"/>
      <c r="AF13" s="97"/>
      <c r="AG13" s="112"/>
      <c r="AH13" s="115">
        <v>-7</v>
      </c>
      <c r="AI13" s="48"/>
      <c r="AJ13" s="383" t="s">
        <v>195</v>
      </c>
      <c r="AK13" s="383"/>
      <c r="AL13" s="383"/>
      <c r="AM13" s="383"/>
      <c r="AN13" s="383"/>
      <c r="AO13" s="383"/>
      <c r="AP13" s="383"/>
      <c r="AQ13" s="383"/>
      <c r="AR13" s="383"/>
      <c r="AS13" s="383"/>
      <c r="AT13" s="383"/>
      <c r="AU13" s="383"/>
      <c r="AV13" s="383"/>
      <c r="AW13" s="383"/>
      <c r="AX13" s="383"/>
      <c r="AY13" s="383"/>
    </row>
    <row r="14" spans="1:51" ht="17.100000000000001" customHeight="1" x14ac:dyDescent="0.25">
      <c r="B14" s="450" t="s">
        <v>158</v>
      </c>
      <c r="C14" s="362" t="s">
        <v>133</v>
      </c>
      <c r="D14" s="363"/>
      <c r="E14" s="363"/>
      <c r="F14" s="363"/>
      <c r="G14" s="363"/>
      <c r="H14" s="457"/>
      <c r="I14" s="442" t="str">
        <f>"取樣量("&amp; INDEX(取樣單位,MATCH(E3,Method,0)) &amp;")"</f>
        <v>取樣量(g)</v>
      </c>
      <c r="J14" s="443"/>
      <c r="K14" s="444"/>
      <c r="L14" s="442" t="s">
        <v>159</v>
      </c>
      <c r="M14" s="443"/>
      <c r="N14" s="444"/>
      <c r="O14" s="362" t="s">
        <v>69</v>
      </c>
      <c r="P14" s="363"/>
      <c r="Q14" s="363"/>
      <c r="R14" s="363"/>
      <c r="S14" s="363"/>
      <c r="T14" s="363"/>
      <c r="U14" s="363"/>
      <c r="V14" s="457"/>
      <c r="W14" s="362" t="s">
        <v>71</v>
      </c>
      <c r="X14" s="363"/>
      <c r="Y14" s="363"/>
      <c r="Z14" s="363"/>
      <c r="AA14" s="363"/>
      <c r="AB14" s="363"/>
      <c r="AC14" s="363"/>
      <c r="AD14" s="457"/>
      <c r="AH14" s="115">
        <v>-8</v>
      </c>
      <c r="AI14" s="48"/>
      <c r="AJ14" s="359" t="s">
        <v>208</v>
      </c>
      <c r="AK14" s="359"/>
      <c r="AL14" s="359"/>
      <c r="AM14" s="359"/>
      <c r="AN14" s="359"/>
      <c r="AO14" s="359"/>
      <c r="AP14" s="359"/>
      <c r="AQ14" s="359"/>
      <c r="AR14" s="359"/>
      <c r="AS14" s="359"/>
      <c r="AT14" s="359"/>
      <c r="AU14" s="359"/>
      <c r="AV14" s="359"/>
      <c r="AW14" s="359"/>
      <c r="AX14" s="359"/>
      <c r="AY14" s="359"/>
    </row>
    <row r="15" spans="1:51" ht="17.100000000000001" customHeight="1" thickBot="1" x14ac:dyDescent="0.3">
      <c r="A15" s="308" t="s">
        <v>373</v>
      </c>
      <c r="B15" s="451"/>
      <c r="C15" s="458"/>
      <c r="D15" s="459"/>
      <c r="E15" s="459"/>
      <c r="F15" s="459"/>
      <c r="G15" s="459"/>
      <c r="H15" s="460"/>
      <c r="I15" s="445"/>
      <c r="J15" s="446"/>
      <c r="K15" s="447"/>
      <c r="L15" s="445"/>
      <c r="M15" s="446"/>
      <c r="N15" s="447"/>
      <c r="O15" s="458"/>
      <c r="P15" s="459"/>
      <c r="Q15" s="459"/>
      <c r="R15" s="459"/>
      <c r="S15" s="459"/>
      <c r="T15" s="459"/>
      <c r="U15" s="459"/>
      <c r="V15" s="460"/>
      <c r="W15" s="458"/>
      <c r="X15" s="459"/>
      <c r="Y15" s="459"/>
      <c r="Z15" s="459"/>
      <c r="AA15" s="459"/>
      <c r="AB15" s="459"/>
      <c r="AC15" s="459"/>
      <c r="AD15" s="460"/>
      <c r="AE15" s="96"/>
      <c r="AF15" s="384" t="s">
        <v>157</v>
      </c>
      <c r="AG15" s="384"/>
      <c r="AH15" s="115">
        <v>-9</v>
      </c>
      <c r="AI15" s="48"/>
      <c r="AJ15" s="359" t="s">
        <v>209</v>
      </c>
      <c r="AK15" s="359"/>
      <c r="AL15" s="359"/>
      <c r="AM15" s="359"/>
      <c r="AN15" s="359"/>
      <c r="AO15" s="359"/>
      <c r="AP15" s="359"/>
      <c r="AQ15" s="359"/>
      <c r="AR15" s="359"/>
      <c r="AS15" s="359"/>
      <c r="AT15" s="359"/>
      <c r="AU15" s="359"/>
      <c r="AV15" s="359"/>
      <c r="AW15" s="359"/>
      <c r="AX15" s="359"/>
      <c r="AY15" s="359"/>
    </row>
    <row r="16" spans="1:51" ht="17.100000000000001" customHeight="1" x14ac:dyDescent="0.25">
      <c r="A16" s="304">
        <f>IFERROR(IF(I17&lt;0.5,1,ROUNDDOWN(I17/0.5,0)),1)</f>
        <v>1</v>
      </c>
      <c r="B16" s="302">
        <v>1</v>
      </c>
      <c r="C16" s="452" t="str">
        <f>CONCATENATE("C0"&amp;$AF$4&amp;"-"&amp;$AF$3&amp;$AF$5)</f>
        <v>C0YYYY/MM/DD-F</v>
      </c>
      <c r="D16" s="452"/>
      <c r="E16" s="452"/>
      <c r="F16" s="452"/>
      <c r="G16" s="452"/>
      <c r="H16" s="452"/>
      <c r="I16" s="448" t="s">
        <v>142</v>
      </c>
      <c r="J16" s="448"/>
      <c r="K16" s="448"/>
      <c r="L16" s="463">
        <f>IFERROR(IF(COUNTIF(E3,"*746*"),INDEX(定量體積,MATCH(E3,Method,0))*A16,INDEX(定量體積,MATCH(E3,Method,0))),"--")</f>
        <v>25</v>
      </c>
      <c r="M16" s="463"/>
      <c r="N16" s="463"/>
      <c r="O16" s="427" t="s">
        <v>70</v>
      </c>
      <c r="P16" s="422"/>
      <c r="Q16" s="422"/>
      <c r="R16" s="422"/>
      <c r="S16" s="422"/>
      <c r="T16" s="422"/>
      <c r="U16" s="422"/>
      <c r="V16" s="423"/>
      <c r="W16" s="421" t="s">
        <v>441</v>
      </c>
      <c r="X16" s="422"/>
      <c r="Y16" s="422"/>
      <c r="Z16" s="422"/>
      <c r="AA16" s="422"/>
      <c r="AB16" s="422"/>
      <c r="AC16" s="422"/>
      <c r="AD16" s="423"/>
      <c r="AE16" s="97"/>
      <c r="AF16" s="384" t="str">
        <f>C16</f>
        <v>C0YYYY/MM/DD-F</v>
      </c>
      <c r="AG16" s="384"/>
      <c r="AH16" s="115">
        <v>-10</v>
      </c>
      <c r="AI16" s="48"/>
      <c r="AJ16" s="437" t="s">
        <v>277</v>
      </c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</row>
    <row r="17" spans="1:54" ht="17.100000000000001" customHeight="1" x14ac:dyDescent="0.25">
      <c r="A17" s="305" t="s">
        <v>374</v>
      </c>
      <c r="B17" s="303">
        <v>2</v>
      </c>
      <c r="C17" s="453" t="str">
        <f>CONCATENATE("BK"&amp;$AF$4&amp;"-"&amp;$AF$3&amp;$AF$5)</f>
        <v>BKYYYY/MM/DD-F</v>
      </c>
      <c r="D17" s="453"/>
      <c r="E17" s="453"/>
      <c r="F17" s="453"/>
      <c r="G17" s="453"/>
      <c r="H17" s="453"/>
      <c r="I17" s="449" t="s">
        <v>429</v>
      </c>
      <c r="J17" s="357"/>
      <c r="K17" s="357"/>
      <c r="L17" s="355">
        <f>$L$16</f>
        <v>25</v>
      </c>
      <c r="M17" s="355"/>
      <c r="N17" s="355"/>
      <c r="O17" s="428" t="s">
        <v>70</v>
      </c>
      <c r="P17" s="429"/>
      <c r="Q17" s="429"/>
      <c r="R17" s="429"/>
      <c r="S17" s="429"/>
      <c r="T17" s="429"/>
      <c r="U17" s="429"/>
      <c r="V17" s="430"/>
      <c r="W17" s="424" t="s">
        <v>440</v>
      </c>
      <c r="X17" s="425"/>
      <c r="Y17" s="425"/>
      <c r="Z17" s="425"/>
      <c r="AA17" s="425"/>
      <c r="AB17" s="425"/>
      <c r="AC17" s="425"/>
      <c r="AD17" s="426"/>
      <c r="AE17" s="98"/>
      <c r="AF17" s="384" t="str">
        <f t="shared" ref="AF17:AF19" si="1">C17</f>
        <v>BKYYYY/MM/DD-F</v>
      </c>
      <c r="AG17" s="384"/>
      <c r="AH17" s="114" t="s">
        <v>122</v>
      </c>
      <c r="AI17" s="48"/>
      <c r="AJ17" s="438" t="s">
        <v>278</v>
      </c>
      <c r="AK17" s="359"/>
      <c r="AL17" s="359"/>
      <c r="AM17" s="359"/>
      <c r="AN17" s="359"/>
      <c r="AO17" s="359"/>
      <c r="AP17" s="359"/>
      <c r="AQ17" s="359"/>
      <c r="AR17" s="359"/>
      <c r="AS17" s="359"/>
      <c r="AT17" s="359"/>
      <c r="AU17" s="359"/>
      <c r="AV17" s="359"/>
      <c r="AW17" s="359"/>
      <c r="AX17" s="359"/>
      <c r="AY17" s="359"/>
    </row>
    <row r="18" spans="1:54" ht="17.100000000000001" customHeight="1" x14ac:dyDescent="0.25">
      <c r="A18" s="304">
        <f>IF(COUNTIF($E$3,"*746*"),INDEX(取樣量,MATCH(E3,Method,0))*A16,INDEX(取樣量,MATCH(E3,Method,0)))</f>
        <v>0.5</v>
      </c>
      <c r="B18" s="303">
        <v>3</v>
      </c>
      <c r="C18" s="453" t="str">
        <f>CONCATENATE("QC"&amp;$AF$4&amp;"-"&amp;$AF$3&amp;$AF$5)</f>
        <v>QCYYYY/MM/DD-F</v>
      </c>
      <c r="D18" s="453"/>
      <c r="E18" s="453"/>
      <c r="F18" s="453"/>
      <c r="G18" s="453"/>
      <c r="H18" s="453"/>
      <c r="I18" s="449" t="s">
        <v>429</v>
      </c>
      <c r="J18" s="357"/>
      <c r="K18" s="357"/>
      <c r="L18" s="355">
        <f>$L$16</f>
        <v>25</v>
      </c>
      <c r="M18" s="355"/>
      <c r="N18" s="355"/>
      <c r="O18" s="428" t="s">
        <v>70</v>
      </c>
      <c r="P18" s="429"/>
      <c r="Q18" s="429"/>
      <c r="R18" s="429"/>
      <c r="S18" s="429"/>
      <c r="T18" s="429"/>
      <c r="U18" s="429"/>
      <c r="V18" s="430"/>
      <c r="W18" s="424" t="str">
        <f>W17</f>
        <v>F-2501 玉米澱粉</v>
      </c>
      <c r="X18" s="425"/>
      <c r="Y18" s="425"/>
      <c r="Z18" s="425"/>
      <c r="AA18" s="425"/>
      <c r="AB18" s="425"/>
      <c r="AC18" s="425"/>
      <c r="AD18" s="426"/>
      <c r="AE18" s="98"/>
      <c r="AF18" s="384" t="str">
        <f t="shared" si="1"/>
        <v>QCYYYY/MM/DD-F</v>
      </c>
      <c r="AG18" s="384"/>
      <c r="AH18" s="114" t="s">
        <v>276</v>
      </c>
      <c r="AI18" s="48"/>
      <c r="AJ18" s="359"/>
      <c r="AK18" s="359"/>
      <c r="AL18" s="359"/>
      <c r="AM18" s="359"/>
      <c r="AN18" s="359"/>
      <c r="AO18" s="359"/>
      <c r="AP18" s="359"/>
      <c r="AQ18" s="359"/>
      <c r="AR18" s="359"/>
      <c r="AS18" s="359"/>
      <c r="AT18" s="359"/>
      <c r="AU18" s="359"/>
      <c r="AV18" s="359"/>
      <c r="AW18" s="359"/>
      <c r="AX18" s="359"/>
      <c r="AY18" s="359"/>
    </row>
    <row r="19" spans="1:54" ht="17.100000000000001" customHeight="1" x14ac:dyDescent="0.25">
      <c r="B19" s="303">
        <v>4</v>
      </c>
      <c r="C19" s="453" t="str">
        <f>CONCATENATE("QCR"&amp;$AF$4&amp;"-"&amp;$AF$3&amp;$AF$5)</f>
        <v>QCRYYYY/MM/DD-F</v>
      </c>
      <c r="D19" s="453"/>
      <c r="E19" s="453"/>
      <c r="F19" s="453"/>
      <c r="G19" s="453"/>
      <c r="H19" s="453"/>
      <c r="I19" s="449" t="s">
        <v>429</v>
      </c>
      <c r="J19" s="357"/>
      <c r="K19" s="357"/>
      <c r="L19" s="355">
        <f>$L$16</f>
        <v>25</v>
      </c>
      <c r="M19" s="355"/>
      <c r="N19" s="355"/>
      <c r="O19" s="428" t="s">
        <v>70</v>
      </c>
      <c r="P19" s="429"/>
      <c r="Q19" s="429"/>
      <c r="R19" s="429"/>
      <c r="S19" s="429"/>
      <c r="T19" s="429"/>
      <c r="U19" s="429"/>
      <c r="V19" s="430"/>
      <c r="W19" s="424" t="str">
        <f>W17</f>
        <v>F-2501 玉米澱粉</v>
      </c>
      <c r="X19" s="425"/>
      <c r="Y19" s="425"/>
      <c r="Z19" s="425"/>
      <c r="AA19" s="425"/>
      <c r="AB19" s="425"/>
      <c r="AC19" s="425"/>
      <c r="AD19" s="426"/>
      <c r="AE19" s="98"/>
      <c r="AF19" s="384" t="str">
        <f t="shared" si="1"/>
        <v>QCRYYYY/MM/DD-F</v>
      </c>
      <c r="AG19" s="384"/>
      <c r="AH19" s="114"/>
      <c r="AI19" s="48"/>
      <c r="AJ19" s="359"/>
      <c r="AK19" s="359"/>
      <c r="AL19" s="359"/>
      <c r="AM19" s="359"/>
      <c r="AN19" s="359"/>
      <c r="AO19" s="359"/>
      <c r="AP19" s="359"/>
      <c r="AQ19" s="359"/>
      <c r="AR19" s="359"/>
      <c r="AS19" s="359"/>
      <c r="AT19" s="359"/>
      <c r="AU19" s="359"/>
      <c r="AV19" s="359"/>
      <c r="AW19" s="359"/>
      <c r="AX19" s="359"/>
      <c r="AY19" s="359"/>
    </row>
    <row r="20" spans="1:54" ht="17.100000000000001" customHeight="1" x14ac:dyDescent="0.25">
      <c r="A20" s="37" t="s">
        <v>46</v>
      </c>
      <c r="B20" s="303">
        <v>5</v>
      </c>
      <c r="C20" s="373" t="str">
        <f>IF(樣品清單!B3="","--",樣品清單!B3)</f>
        <v>--</v>
      </c>
      <c r="D20" s="373"/>
      <c r="E20" s="373"/>
      <c r="F20" s="374"/>
      <c r="G20" s="371"/>
      <c r="H20" s="372"/>
      <c r="I20" s="449" t="s">
        <v>97</v>
      </c>
      <c r="J20" s="357"/>
      <c r="K20" s="357"/>
      <c r="L20" s="355" t="str">
        <f t="shared" ref="L20:L39" si="2">IF(C20="--","--",$L$16)</f>
        <v>--</v>
      </c>
      <c r="M20" s="355"/>
      <c r="N20" s="355"/>
      <c r="O20" s="409" t="str">
        <f>LEFT(樣品清單!$F3,2)&amp;IF(樣品清單!$F3="","",".")&amp;LEFT(樣品清單!$G3,2)&amp;IF(樣品清單!$G3="","",".")&amp;LEFT(樣品清單!$H3,2)&amp;IF(樣品清單!$H3="","",".")&amp;LEFT(樣品清單!$I3,2)&amp;IF(樣品清單!$I3="","",".")&amp;LEFT(樣品清單!$J3,2)&amp;IF(樣品清單!$J3="","",".")&amp;LEFT(樣品清單!$K3,2)&amp;IF(樣品清單!$K3="","",".")&amp;LEFT(樣品清單!$L3,2)&amp;IF(樣品清單!$L3="","",".")&amp;LEFT(樣品清單!$M3,2)&amp;IF(樣品清單!$M3="","",".")&amp;LEFT(樣品清單!$N3,2)&amp;IF(樣品清單!$N3="","",".")&amp;LEFT(樣品清單!$O3,2)&amp;IF(樣品清單!$O3="","",".")&amp;LEFT(樣品清單!$P3,2)&amp;IF(樣品清單!$P3="","",".")&amp;LEFT(樣品清單!$Q3,2)&amp;IF(樣品清單!$Q3="","",".")&amp;LEFT(樣品清單!$R3,2)&amp;IF(樣品清單!$R3="","",".")&amp;LEFT(樣品清單!$S3,2)&amp;IF(樣品清單!$S3="","",".")&amp;LEFT(樣品清單!$T3,2)&amp;IF(樣品清單!$T3="","",".")&amp;LEFT(樣品清單!$U3,2)&amp;IF(樣品清單!$U3="","",".")&amp;LEFT(樣品清單!$V3,2)&amp;IF(樣品清單!$V3="","",".")&amp;LEFT(樣品清單!$W3,2)&amp;IF(樣品清單!$W3="","",".")&amp;LEFT(樣品清單!$X3,2)&amp;IF(樣品清單!$X3="","",".")&amp;LEFT(樣品清單!$Y3,2)&amp;IF(樣品清單!$Y3="","",".")&amp;LEFT(樣品清單!$Z3,2)&amp;IF(樣品清單!$Z3="","",".")&amp;LEFT(樣品清單!$AA3,2)&amp;IF(樣品清單!$AA3="","",".")&amp;LEFT(樣品清單!$AB3,2)&amp;IF(樣品清單!$AB3="","",".")&amp;LEFT(樣品清單!$AC3,2)</f>
        <v/>
      </c>
      <c r="P20" s="410"/>
      <c r="Q20" s="410"/>
      <c r="R20" s="410"/>
      <c r="S20" s="410"/>
      <c r="T20" s="410"/>
      <c r="U20" s="410"/>
      <c r="V20" s="411"/>
      <c r="W20" s="349" t="s">
        <v>97</v>
      </c>
      <c r="X20" s="350"/>
      <c r="Y20" s="350"/>
      <c r="Z20" s="350"/>
      <c r="AA20" s="350"/>
      <c r="AB20" s="350"/>
      <c r="AC20" s="350"/>
      <c r="AD20" s="351"/>
      <c r="AE20" s="99" t="str">
        <f>WorkSheet!C20&amp;WorkSheet!G20</f>
        <v>--</v>
      </c>
      <c r="AF20" s="384" t="str">
        <f>CONCATENATE(C20&amp;G20)</f>
        <v>--</v>
      </c>
      <c r="AG20" s="384"/>
      <c r="AH20" s="114"/>
      <c r="AI20" s="48"/>
      <c r="AJ20" s="359"/>
      <c r="AK20" s="359"/>
      <c r="AL20" s="359"/>
      <c r="AM20" s="359"/>
      <c r="AN20" s="359"/>
      <c r="AO20" s="359"/>
      <c r="AP20" s="359"/>
      <c r="AQ20" s="359"/>
      <c r="AR20" s="359"/>
      <c r="AS20" s="359"/>
      <c r="AT20" s="359"/>
      <c r="AU20" s="359"/>
      <c r="AV20" s="359"/>
      <c r="AW20" s="359"/>
      <c r="AX20" s="359"/>
      <c r="AY20" s="359"/>
    </row>
    <row r="21" spans="1:54" ht="17.100000000000001" customHeight="1" x14ac:dyDescent="0.25">
      <c r="A21" s="37" t="s">
        <v>47</v>
      </c>
      <c r="B21" s="303">
        <v>6</v>
      </c>
      <c r="C21" s="373" t="str">
        <f>IF(樣品清單!B4="","--",樣品清單!B4)</f>
        <v>--</v>
      </c>
      <c r="D21" s="373"/>
      <c r="E21" s="373"/>
      <c r="F21" s="374"/>
      <c r="G21" s="461" t="str">
        <f>IF(G20="","R",G20 &amp; "R")</f>
        <v>R</v>
      </c>
      <c r="H21" s="462"/>
      <c r="I21" s="357" t="s">
        <v>97</v>
      </c>
      <c r="J21" s="357"/>
      <c r="K21" s="357"/>
      <c r="L21" s="355" t="str">
        <f t="shared" si="2"/>
        <v>--</v>
      </c>
      <c r="M21" s="355"/>
      <c r="N21" s="355"/>
      <c r="O21" s="409" t="str">
        <f>LEFT(樣品清單!$F4,2)&amp;IF(樣品清單!$F4="","",".")&amp;LEFT(樣品清單!$G4,2)&amp;IF(樣品清單!$G4="","",".")&amp;LEFT(樣品清單!$H4,2)&amp;IF(樣品清單!$H4="","",".")&amp;LEFT(樣品清單!$I4,2)&amp;IF(樣品清單!$I4="","",".")&amp;LEFT(樣品清單!$J4,2)&amp;IF(樣品清單!$J4="","",".")&amp;LEFT(樣品清單!$K4,2)&amp;IF(樣品清單!$K4="","",".")&amp;LEFT(樣品清單!$L4,2)&amp;IF(樣品清單!$L4="","",".")&amp;LEFT(樣品清單!$M4,2)&amp;IF(樣品清單!$M4="","",".")&amp;LEFT(樣品清單!$N4,2)&amp;IF(樣品清單!$N4="","",".")&amp;LEFT(樣品清單!$O4,2)&amp;IF(樣品清單!$O4="","",".")&amp;LEFT(樣品清單!$P4,2)&amp;IF(樣品清單!$P4="","",".")&amp;LEFT(樣品清單!$Q4,2)&amp;IF(樣品清單!$Q4="","",".")&amp;LEFT(樣品清單!$R4,2)&amp;IF(樣品清單!$R4="","",".")&amp;LEFT(樣品清單!$S4,2)&amp;IF(樣品清單!$S4="","",".")&amp;LEFT(樣品清單!$T4,2)&amp;IF(樣品清單!$T4="","",".")&amp;LEFT(樣品清單!$U4,2)&amp;IF(樣品清單!$U4="","",".")&amp;LEFT(樣品清單!$V4,2)&amp;IF(樣品清單!$V4="","",".")&amp;LEFT(樣品清單!$W4,2)&amp;IF(樣品清單!$W4="","",".")&amp;LEFT(樣品清單!$X4,2)&amp;IF(樣品清單!$X4="","",".")&amp;LEFT(樣品清單!$Y4,2)&amp;IF(樣品清單!$Y4="","",".")&amp;LEFT(樣品清單!$Z4,2)&amp;IF(樣品清單!$Z4="","",".")&amp;LEFT(樣品清單!$AA4,2)&amp;IF(樣品清單!$AA4="","",".")&amp;LEFT(樣品清單!$AB4,2)&amp;IF(樣品清單!$AB4="","",".")&amp;LEFT(樣品清單!$AC4,2)</f>
        <v/>
      </c>
      <c r="P21" s="410"/>
      <c r="Q21" s="410"/>
      <c r="R21" s="410"/>
      <c r="S21" s="410"/>
      <c r="T21" s="410"/>
      <c r="U21" s="410"/>
      <c r="V21" s="411"/>
      <c r="W21" s="349" t="s">
        <v>97</v>
      </c>
      <c r="X21" s="350"/>
      <c r="Y21" s="350"/>
      <c r="Z21" s="350"/>
      <c r="AA21" s="350"/>
      <c r="AB21" s="350"/>
      <c r="AC21" s="350"/>
      <c r="AD21" s="351"/>
      <c r="AE21" s="99" t="str">
        <f>WorkSheet!C21&amp;WorkSheet!G21</f>
        <v>--R</v>
      </c>
      <c r="AF21" s="384" t="str">
        <f t="shared" ref="AF21:AF39" si="3">CONCATENATE(C21&amp;G21)</f>
        <v>--R</v>
      </c>
      <c r="AG21" s="384"/>
      <c r="AH21" s="114"/>
      <c r="AI21" s="48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</row>
    <row r="22" spans="1:54" ht="17.100000000000001" customHeight="1" x14ac:dyDescent="0.25">
      <c r="A22" s="59" t="s">
        <v>48</v>
      </c>
      <c r="B22" s="303">
        <v>7</v>
      </c>
      <c r="C22" s="373" t="str">
        <f>IF(樣品清單!B5="","--",樣品清單!B5)</f>
        <v>--</v>
      </c>
      <c r="D22" s="373"/>
      <c r="E22" s="373"/>
      <c r="F22" s="374"/>
      <c r="G22" s="454"/>
      <c r="H22" s="455"/>
      <c r="I22" s="357" t="s">
        <v>97</v>
      </c>
      <c r="J22" s="357"/>
      <c r="K22" s="357"/>
      <c r="L22" s="355" t="str">
        <f t="shared" si="2"/>
        <v>--</v>
      </c>
      <c r="M22" s="355"/>
      <c r="N22" s="355"/>
      <c r="O22" s="409" t="str">
        <f>LEFT(樣品清單!$F5,2)&amp;IF(樣品清單!$F5="","",".")&amp;LEFT(樣品清單!$G5,2)&amp;IF(樣品清單!$G5="","",".")&amp;LEFT(樣品清單!$H5,2)&amp;IF(樣品清單!$H5="","",".")&amp;LEFT(樣品清單!$I5,2)&amp;IF(樣品清單!$I5="","",".")&amp;LEFT(樣品清單!$J5,2)&amp;IF(樣品清單!$J5="","",".")&amp;LEFT(樣品清單!$K5,2)&amp;IF(樣品清單!$K5="","",".")&amp;LEFT(樣品清單!$L5,2)&amp;IF(樣品清單!$L5="","",".")&amp;LEFT(樣品清單!$M5,2)&amp;IF(樣品清單!$M5="","",".")&amp;LEFT(樣品清單!$N5,2)&amp;IF(樣品清單!$N5="","",".")&amp;LEFT(樣品清單!$O5,2)&amp;IF(樣品清單!$O5="","",".")&amp;LEFT(樣品清單!$P5,2)&amp;IF(樣品清單!$P5="","",".")&amp;LEFT(樣品清單!$Q5,2)&amp;IF(樣品清單!$Q5="","",".")&amp;LEFT(樣品清單!$R5,2)&amp;IF(樣品清單!$R5="","",".")&amp;LEFT(樣品清單!$S5,2)&amp;IF(樣品清單!$S5="","",".")&amp;LEFT(樣品清單!$T5,2)&amp;IF(樣品清單!$T5="","",".")&amp;LEFT(樣品清單!$U5,2)&amp;IF(樣品清單!$U5="","",".")&amp;LEFT(樣品清單!$V5,2)&amp;IF(樣品清單!$V5="","",".")&amp;LEFT(樣品清單!$W5,2)&amp;IF(樣品清單!$W5="","",".")&amp;LEFT(樣品清單!$X5,2)&amp;IF(樣品清單!$X5="","",".")&amp;LEFT(樣品清單!$Y5,2)&amp;IF(樣品清單!$Y5="","",".")&amp;LEFT(樣品清單!$Z5,2)&amp;IF(樣品清單!$Z5="","",".")&amp;LEFT(樣品清單!$AA5,2)&amp;IF(樣品清單!$AA5="","",".")&amp;LEFT(樣品清單!$AB5,2)&amp;IF(樣品清單!$AB5="","",".")&amp;LEFT(樣品清單!$AC5,2)</f>
        <v/>
      </c>
      <c r="P22" s="410"/>
      <c r="Q22" s="410"/>
      <c r="R22" s="410"/>
      <c r="S22" s="410"/>
      <c r="T22" s="410"/>
      <c r="U22" s="410"/>
      <c r="V22" s="411"/>
      <c r="W22" s="349" t="s">
        <v>97</v>
      </c>
      <c r="X22" s="350"/>
      <c r="Y22" s="350"/>
      <c r="Z22" s="350"/>
      <c r="AA22" s="350"/>
      <c r="AB22" s="350"/>
      <c r="AC22" s="350"/>
      <c r="AD22" s="351"/>
      <c r="AE22" s="99" t="str">
        <f>WorkSheet!C22&amp;WorkSheet!G22</f>
        <v>--</v>
      </c>
      <c r="AF22" s="384" t="str">
        <f t="shared" si="3"/>
        <v>--</v>
      </c>
      <c r="AG22" s="384"/>
      <c r="AI22" s="48"/>
      <c r="AJ22" s="359"/>
      <c r="AK22" s="359"/>
      <c r="AL22" s="359"/>
      <c r="AM22" s="359"/>
      <c r="AN22" s="359"/>
      <c r="AO22" s="359"/>
      <c r="AP22" s="359"/>
      <c r="AQ22" s="359"/>
      <c r="AR22" s="359"/>
      <c r="AS22" s="359"/>
      <c r="AT22" s="359"/>
      <c r="AU22" s="359"/>
      <c r="AV22" s="359"/>
      <c r="AW22" s="359"/>
      <c r="AX22" s="359"/>
      <c r="AY22" s="359"/>
    </row>
    <row r="23" spans="1:54" ht="17.100000000000001" customHeight="1" x14ac:dyDescent="0.25">
      <c r="A23" s="59" t="s">
        <v>49</v>
      </c>
      <c r="B23" s="303">
        <v>8</v>
      </c>
      <c r="C23" s="373" t="str">
        <f>IF(樣品清單!B6="","--",樣品清單!B6)</f>
        <v>--</v>
      </c>
      <c r="D23" s="373"/>
      <c r="E23" s="373"/>
      <c r="F23" s="374"/>
      <c r="G23" s="454"/>
      <c r="H23" s="455"/>
      <c r="I23" s="357" t="s">
        <v>97</v>
      </c>
      <c r="J23" s="357"/>
      <c r="K23" s="357"/>
      <c r="L23" s="355" t="str">
        <f t="shared" si="2"/>
        <v>--</v>
      </c>
      <c r="M23" s="355"/>
      <c r="N23" s="355"/>
      <c r="O23" s="409" t="str">
        <f>LEFT(樣品清單!$F6,2)&amp;IF(樣品清單!$F6="","",".")&amp;LEFT(樣品清單!$G6,2)&amp;IF(樣品清單!$G6="","",".")&amp;LEFT(樣品清單!$H6,2)&amp;IF(樣品清單!$H6="","",".")&amp;LEFT(樣品清單!$I6,2)&amp;IF(樣品清單!$I6="","",".")&amp;LEFT(樣品清單!$J6,2)&amp;IF(樣品清單!$J6="","",".")&amp;LEFT(樣品清單!$K6,2)&amp;IF(樣品清單!$K6="","",".")&amp;LEFT(樣品清單!$L6,2)&amp;IF(樣品清單!$L6="","",".")&amp;LEFT(樣品清單!$M6,2)&amp;IF(樣品清單!$M6="","",".")&amp;LEFT(樣品清單!$N6,2)&amp;IF(樣品清單!$N6="","",".")&amp;LEFT(樣品清單!$O6,2)&amp;IF(樣品清單!$O6="","",".")&amp;LEFT(樣品清單!$P6,2)&amp;IF(樣品清單!$P6="","",".")&amp;LEFT(樣品清單!$Q6,2)&amp;IF(樣品清單!$Q6="","",".")&amp;LEFT(樣品清單!$R6,2)&amp;IF(樣品清單!$R6="","",".")&amp;LEFT(樣品清單!$S6,2)&amp;IF(樣品清單!$S6="","",".")&amp;LEFT(樣品清單!$T6,2)&amp;IF(樣品清單!$T6="","",".")&amp;LEFT(樣品清單!$U6,2)&amp;IF(樣品清單!$U6="","",".")&amp;LEFT(樣品清單!$V6,2)&amp;IF(樣品清單!$V6="","",".")&amp;LEFT(樣品清單!$W6,2)&amp;IF(樣品清單!$W6="","",".")&amp;LEFT(樣品清單!$X6,2)&amp;IF(樣品清單!$X6="","",".")&amp;LEFT(樣品清單!$Y6,2)&amp;IF(樣品清單!$Y6="","",".")&amp;LEFT(樣品清單!$Z6,2)&amp;IF(樣品清單!$Z6="","",".")&amp;LEFT(樣品清單!$AA6,2)&amp;IF(樣品清單!$AA6="","",".")&amp;LEFT(樣品清單!$AB6,2)&amp;IF(樣品清單!$AB6="","",".")&amp;LEFT(樣品清單!$AC6,2)</f>
        <v/>
      </c>
      <c r="P23" s="410"/>
      <c r="Q23" s="410"/>
      <c r="R23" s="410"/>
      <c r="S23" s="410"/>
      <c r="T23" s="410"/>
      <c r="U23" s="410"/>
      <c r="V23" s="411"/>
      <c r="W23" s="349" t="s">
        <v>97</v>
      </c>
      <c r="X23" s="350"/>
      <c r="Y23" s="350"/>
      <c r="Z23" s="350"/>
      <c r="AA23" s="350"/>
      <c r="AB23" s="350"/>
      <c r="AC23" s="350"/>
      <c r="AD23" s="351"/>
      <c r="AE23" s="99" t="str">
        <f>WorkSheet!C23&amp;WorkSheet!G23</f>
        <v>--</v>
      </c>
      <c r="AF23" s="384" t="str">
        <f>CONCATENATE(C23&amp;G23)</f>
        <v>--</v>
      </c>
      <c r="AG23" s="384"/>
      <c r="AI23" s="48"/>
      <c r="AJ23" s="359"/>
      <c r="AK23" s="359"/>
      <c r="AL23" s="359"/>
      <c r="AM23" s="359"/>
      <c r="AN23" s="359"/>
      <c r="AO23" s="359"/>
      <c r="AP23" s="359"/>
      <c r="AQ23" s="359"/>
      <c r="AR23" s="359"/>
      <c r="AS23" s="359"/>
      <c r="AT23" s="359"/>
      <c r="AU23" s="359"/>
      <c r="AV23" s="359"/>
      <c r="AW23" s="359"/>
      <c r="AX23" s="359"/>
      <c r="AY23" s="359"/>
    </row>
    <row r="24" spans="1:54" ht="17.100000000000001" customHeight="1" x14ac:dyDescent="0.25">
      <c r="A24" s="59" t="s">
        <v>50</v>
      </c>
      <c r="B24" s="105">
        <v>9</v>
      </c>
      <c r="C24" s="373" t="str">
        <f>IF(樣品清單!B7="","--",樣品清單!B7)</f>
        <v>--</v>
      </c>
      <c r="D24" s="373"/>
      <c r="E24" s="373"/>
      <c r="F24" s="374"/>
      <c r="G24" s="456"/>
      <c r="H24" s="371"/>
      <c r="I24" s="357" t="s">
        <v>97</v>
      </c>
      <c r="J24" s="357"/>
      <c r="K24" s="357"/>
      <c r="L24" s="355" t="str">
        <f t="shared" si="2"/>
        <v>--</v>
      </c>
      <c r="M24" s="355"/>
      <c r="N24" s="355"/>
      <c r="O24" s="409" t="str">
        <f>LEFT(樣品清單!$F7,2)&amp;IF(樣品清單!$F7="","",".")&amp;LEFT(樣品清單!$G7,2)&amp;IF(樣品清單!$G7="","",".")&amp;LEFT(樣品清單!$H7,2)&amp;IF(樣品清單!$H7="","",".")&amp;LEFT(樣品清單!$I7,2)&amp;IF(樣品清單!$I7="","",".")&amp;LEFT(樣品清單!$J7,2)&amp;IF(樣品清單!$J7="","",".")&amp;LEFT(樣品清單!$K7,2)&amp;IF(樣品清單!$K7="","",".")&amp;LEFT(樣品清單!$L7,2)&amp;IF(樣品清單!$L7="","",".")&amp;LEFT(樣品清單!$M7,2)&amp;IF(樣品清單!$M7="","",".")&amp;LEFT(樣品清單!$N7,2)&amp;IF(樣品清單!$N7="","",".")&amp;LEFT(樣品清單!$O7,2)&amp;IF(樣品清單!$O7="","",".")&amp;LEFT(樣品清單!$P7,2)&amp;IF(樣品清單!$P7="","",".")&amp;LEFT(樣品清單!$Q7,2)&amp;IF(樣品清單!$Q7="","",".")&amp;LEFT(樣品清單!$R7,2)&amp;IF(樣品清單!$R7="","",".")&amp;LEFT(樣品清單!$S7,2)&amp;IF(樣品清單!$S7="","",".")&amp;LEFT(樣品清單!$T7,2)&amp;IF(樣品清單!$T7="","",".")&amp;LEFT(樣品清單!$U7,2)&amp;IF(樣品清單!$U7="","",".")&amp;LEFT(樣品清單!$V7,2)&amp;IF(樣品清單!$V7="","",".")&amp;LEFT(樣品清單!$W7,2)&amp;IF(樣品清單!$W7="","",".")&amp;LEFT(樣品清單!$X7,2)&amp;IF(樣品清單!$X7="","",".")&amp;LEFT(樣品清單!$Y7,2)&amp;IF(樣品清單!$Y7="","",".")&amp;LEFT(樣品清單!$Z7,2)&amp;IF(樣品清單!$Z7="","",".")&amp;LEFT(樣品清單!$AA7,2)&amp;IF(樣品清單!$AA7="","",".")&amp;LEFT(樣品清單!$AB7,2)&amp;IF(樣品清單!$AB7="","",".")&amp;LEFT(樣品清單!$AC7,2)</f>
        <v/>
      </c>
      <c r="P24" s="410"/>
      <c r="Q24" s="410"/>
      <c r="R24" s="410"/>
      <c r="S24" s="410"/>
      <c r="T24" s="410"/>
      <c r="U24" s="410"/>
      <c r="V24" s="411"/>
      <c r="W24" s="349" t="s">
        <v>97</v>
      </c>
      <c r="X24" s="350"/>
      <c r="Y24" s="350"/>
      <c r="Z24" s="350"/>
      <c r="AA24" s="350"/>
      <c r="AB24" s="350"/>
      <c r="AC24" s="350"/>
      <c r="AD24" s="351"/>
      <c r="AE24" s="99" t="str">
        <f>WorkSheet!C24&amp;WorkSheet!G24</f>
        <v>--</v>
      </c>
      <c r="AF24" s="384" t="str">
        <f>CONCATENATE(C24&amp;G24)</f>
        <v>--</v>
      </c>
      <c r="AG24" s="384"/>
      <c r="AI24" s="48"/>
      <c r="AJ24" s="359"/>
      <c r="AK24" s="359"/>
      <c r="AL24" s="359"/>
      <c r="AM24" s="359"/>
      <c r="AN24" s="359"/>
      <c r="AO24" s="359"/>
      <c r="AP24" s="359"/>
      <c r="AQ24" s="359"/>
      <c r="AR24" s="359"/>
      <c r="AS24" s="359"/>
      <c r="AT24" s="359"/>
      <c r="AU24" s="359"/>
      <c r="AV24" s="359"/>
      <c r="AW24" s="359"/>
      <c r="AX24" s="359"/>
      <c r="AY24" s="359"/>
    </row>
    <row r="25" spans="1:54" ht="17.100000000000001" customHeight="1" x14ac:dyDescent="0.25">
      <c r="A25" s="59" t="s">
        <v>51</v>
      </c>
      <c r="B25" s="105">
        <v>10</v>
      </c>
      <c r="C25" s="373" t="str">
        <f>IF(樣品清單!B8="","--",樣品清單!B8)</f>
        <v>--</v>
      </c>
      <c r="D25" s="373"/>
      <c r="E25" s="373"/>
      <c r="F25" s="374"/>
      <c r="G25" s="371"/>
      <c r="H25" s="372"/>
      <c r="I25" s="357" t="s">
        <v>97</v>
      </c>
      <c r="J25" s="357"/>
      <c r="K25" s="357"/>
      <c r="L25" s="355" t="str">
        <f t="shared" si="2"/>
        <v>--</v>
      </c>
      <c r="M25" s="355"/>
      <c r="N25" s="355"/>
      <c r="O25" s="409" t="str">
        <f>LEFT(樣品清單!$F8,2)&amp;IF(樣品清單!$F8="","",".")&amp;LEFT(樣品清單!$G8,2)&amp;IF(樣品清單!$G8="","",".")&amp;LEFT(樣品清單!$H8,2)&amp;IF(樣品清單!$H8="","",".")&amp;LEFT(樣品清單!$I8,2)&amp;IF(樣品清單!$I8="","",".")&amp;LEFT(樣品清單!$J8,2)&amp;IF(樣品清單!$J8="","",".")&amp;LEFT(樣品清單!$K8,2)&amp;IF(樣品清單!$K8="","",".")&amp;LEFT(樣品清單!$L8,2)&amp;IF(樣品清單!$L8="","",".")&amp;LEFT(樣品清單!$M8,2)&amp;IF(樣品清單!$M8="","",".")&amp;LEFT(樣品清單!$N8,2)&amp;IF(樣品清單!$N8="","",".")&amp;LEFT(樣品清單!$O8,2)&amp;IF(樣品清單!$O8="","",".")&amp;LEFT(樣品清單!$P8,2)&amp;IF(樣品清單!$P8="","",".")&amp;LEFT(樣品清單!$Q8,2)&amp;IF(樣品清單!$Q8="","",".")&amp;LEFT(樣品清單!$R8,2)&amp;IF(樣品清單!$R8="","",".")&amp;LEFT(樣品清單!$S8,2)&amp;IF(樣品清單!$S8="","",".")&amp;LEFT(樣品清單!$T8,2)&amp;IF(樣品清單!$T8="","",".")&amp;LEFT(樣品清單!$U8,2)&amp;IF(樣品清單!$U8="","",".")&amp;LEFT(樣品清單!$V8,2)&amp;IF(樣品清單!$V8="","",".")&amp;LEFT(樣品清單!$W8,2)&amp;IF(樣品清單!$W8="","",".")&amp;LEFT(樣品清單!$X8,2)&amp;IF(樣品清單!$X8="","",".")&amp;LEFT(樣品清單!$Y8,2)&amp;IF(樣品清單!$Y8="","",".")&amp;LEFT(樣品清單!$Z8,2)&amp;IF(樣品清單!$Z8="","",".")&amp;LEFT(樣品清單!$AA8,2)&amp;IF(樣品清單!$AA8="","",".")&amp;LEFT(樣品清單!$AB8,2)&amp;IF(樣品清單!$AB8="","",".")&amp;LEFT(樣品清單!$AC8,2)</f>
        <v/>
      </c>
      <c r="P25" s="410"/>
      <c r="Q25" s="410"/>
      <c r="R25" s="410"/>
      <c r="S25" s="410"/>
      <c r="T25" s="410"/>
      <c r="U25" s="410"/>
      <c r="V25" s="411"/>
      <c r="W25" s="349" t="s">
        <v>97</v>
      </c>
      <c r="X25" s="350"/>
      <c r="Y25" s="350"/>
      <c r="Z25" s="350"/>
      <c r="AA25" s="350"/>
      <c r="AB25" s="350"/>
      <c r="AC25" s="350"/>
      <c r="AD25" s="351"/>
      <c r="AE25" s="99" t="str">
        <f>WorkSheet!C25&amp;WorkSheet!G25</f>
        <v>--</v>
      </c>
      <c r="AF25" s="384" t="str">
        <f t="shared" si="3"/>
        <v>--</v>
      </c>
      <c r="AG25" s="384"/>
      <c r="AI25" s="48"/>
    </row>
    <row r="26" spans="1:54" ht="17.100000000000001" customHeight="1" x14ac:dyDescent="0.25">
      <c r="A26" s="59" t="s">
        <v>52</v>
      </c>
      <c r="B26" s="105">
        <v>11</v>
      </c>
      <c r="C26" s="373" t="str">
        <f>IF(樣品清單!B9="","--",樣品清單!B9)</f>
        <v>--</v>
      </c>
      <c r="D26" s="373"/>
      <c r="E26" s="373"/>
      <c r="F26" s="374"/>
      <c r="G26" s="371"/>
      <c r="H26" s="372"/>
      <c r="I26" s="357" t="s">
        <v>97</v>
      </c>
      <c r="J26" s="357"/>
      <c r="K26" s="357"/>
      <c r="L26" s="355" t="str">
        <f t="shared" si="2"/>
        <v>--</v>
      </c>
      <c r="M26" s="355"/>
      <c r="N26" s="355"/>
      <c r="O26" s="409" t="str">
        <f>LEFT(樣品清單!$F9,2)&amp;IF(樣品清單!$F9="","",".")&amp;LEFT(樣品清單!$G9,2)&amp;IF(樣品清單!$G9="","",".")&amp;LEFT(樣品清單!$H9,2)&amp;IF(樣品清單!$H9="","",".")&amp;LEFT(樣品清單!$I9,2)&amp;IF(樣品清單!$I9="","",".")&amp;LEFT(樣品清單!$J9,2)&amp;IF(樣品清單!$J9="","",".")&amp;LEFT(樣品清單!$K9,2)&amp;IF(樣品清單!$K9="","",".")&amp;LEFT(樣品清單!$L9,2)&amp;IF(樣品清單!$L9="","",".")&amp;LEFT(樣品清單!$M9,2)&amp;IF(樣品清單!$M9="","",".")&amp;LEFT(樣品清單!$N9,2)&amp;IF(樣品清單!$N9="","",".")&amp;LEFT(樣品清單!$O9,2)&amp;IF(樣品清單!$O9="","",".")&amp;LEFT(樣品清單!$P9,2)&amp;IF(樣品清單!$P9="","",".")&amp;LEFT(樣品清單!$Q9,2)&amp;IF(樣品清單!$Q9="","",".")&amp;LEFT(樣品清單!$R9,2)&amp;IF(樣品清單!$R9="","",".")&amp;LEFT(樣品清單!$S9,2)&amp;IF(樣品清單!$S9="","",".")&amp;LEFT(樣品清單!$T9,2)&amp;IF(樣品清單!$T9="","",".")&amp;LEFT(樣品清單!$U9,2)&amp;IF(樣品清單!$U9="","",".")&amp;LEFT(樣品清單!$V9,2)&amp;IF(樣品清單!$V9="","",".")&amp;LEFT(樣品清單!$W9,2)&amp;IF(樣品清單!$W9="","",".")&amp;LEFT(樣品清單!$X9,2)&amp;IF(樣品清單!$X9="","",".")&amp;LEFT(樣品清單!$Y9,2)&amp;IF(樣品清單!$Y9="","",".")&amp;LEFT(樣品清單!$Z9,2)&amp;IF(樣品清單!$Z9="","",".")&amp;LEFT(樣品清單!$AA9,2)&amp;IF(樣品清單!$AA9="","",".")&amp;LEFT(樣品清單!$AB9,2)&amp;IF(樣品清單!$AB9="","",".")&amp;LEFT(樣品清單!$AC9,2)</f>
        <v/>
      </c>
      <c r="P26" s="410"/>
      <c r="Q26" s="410"/>
      <c r="R26" s="410"/>
      <c r="S26" s="410"/>
      <c r="T26" s="410"/>
      <c r="U26" s="410"/>
      <c r="V26" s="411"/>
      <c r="W26" s="349" t="s">
        <v>97</v>
      </c>
      <c r="X26" s="350"/>
      <c r="Y26" s="350"/>
      <c r="Z26" s="350"/>
      <c r="AA26" s="350"/>
      <c r="AB26" s="350"/>
      <c r="AC26" s="350"/>
      <c r="AD26" s="351"/>
      <c r="AE26" s="99" t="str">
        <f>WorkSheet!C26&amp;WorkSheet!G26</f>
        <v>--</v>
      </c>
      <c r="AF26" s="384" t="str">
        <f t="shared" si="3"/>
        <v>--</v>
      </c>
      <c r="AG26" s="384"/>
      <c r="AI26" s="48"/>
    </row>
    <row r="27" spans="1:54" ht="17.100000000000001" customHeight="1" x14ac:dyDescent="0.25">
      <c r="A27" s="59" t="s">
        <v>53</v>
      </c>
      <c r="B27" s="105">
        <v>12</v>
      </c>
      <c r="C27" s="373" t="str">
        <f>IF(樣品清單!B10="","--",樣品清單!B10)</f>
        <v>--</v>
      </c>
      <c r="D27" s="373"/>
      <c r="E27" s="373"/>
      <c r="F27" s="374"/>
      <c r="G27" s="371"/>
      <c r="H27" s="372"/>
      <c r="I27" s="357" t="s">
        <v>97</v>
      </c>
      <c r="J27" s="357"/>
      <c r="K27" s="357"/>
      <c r="L27" s="355" t="str">
        <f t="shared" si="2"/>
        <v>--</v>
      </c>
      <c r="M27" s="355"/>
      <c r="N27" s="355"/>
      <c r="O27" s="409" t="str">
        <f>LEFT(樣品清單!$F10,2)&amp;IF(樣品清單!$F10="","",".")&amp;LEFT(樣品清單!$G10,2)&amp;IF(樣品清單!$G10="","",".")&amp;LEFT(樣品清單!$H10,2)&amp;IF(樣品清單!$H10="","",".")&amp;LEFT(樣品清單!$I10,2)&amp;IF(樣品清單!$I10="","",".")&amp;LEFT(樣品清單!$J10,2)&amp;IF(樣品清單!$J10="","",".")&amp;LEFT(樣品清單!$K10,2)&amp;IF(樣品清單!$K10="","",".")&amp;LEFT(樣品清單!$L10,2)&amp;IF(樣品清單!$L10="","",".")&amp;LEFT(樣品清單!$M10,2)&amp;IF(樣品清單!$M10="","",".")&amp;LEFT(樣品清單!$N10,2)&amp;IF(樣品清單!$N10="","",".")&amp;LEFT(樣品清單!$O10,2)&amp;IF(樣品清單!$O10="","",".")&amp;LEFT(樣品清單!$P10,2)&amp;IF(樣品清單!$P10="","",".")&amp;LEFT(樣品清單!$Q10,2)&amp;IF(樣品清單!$Q10="","",".")&amp;LEFT(樣品清單!$R10,2)&amp;IF(樣品清單!$R10="","",".")&amp;LEFT(樣品清單!$S10,2)&amp;IF(樣品清單!$S10="","",".")&amp;LEFT(樣品清單!$T10,2)&amp;IF(樣品清單!$T10="","",".")&amp;LEFT(樣品清單!$U10,2)&amp;IF(樣品清單!$U10="","",".")&amp;LEFT(樣品清單!$V10,2)&amp;IF(樣品清單!$V10="","",".")&amp;LEFT(樣品清單!$W10,2)&amp;IF(樣品清單!$W10="","",".")&amp;LEFT(樣品清單!$X10,2)&amp;IF(樣品清單!$X10="","",".")&amp;LEFT(樣品清單!$Y10,2)&amp;IF(樣品清單!$Y10="","",".")&amp;LEFT(樣品清單!$Z10,2)&amp;IF(樣品清單!$Z10="","",".")&amp;LEFT(樣品清單!$AA10,2)&amp;IF(樣品清單!$AA10="","",".")&amp;LEFT(樣品清單!$AB10,2)&amp;IF(樣品清單!$AB10="","",".")&amp;LEFT(樣品清單!$AC10,2)</f>
        <v/>
      </c>
      <c r="P27" s="410"/>
      <c r="Q27" s="410"/>
      <c r="R27" s="410"/>
      <c r="S27" s="410"/>
      <c r="T27" s="410"/>
      <c r="U27" s="410"/>
      <c r="V27" s="411"/>
      <c r="W27" s="349" t="s">
        <v>97</v>
      </c>
      <c r="X27" s="350"/>
      <c r="Y27" s="350"/>
      <c r="Z27" s="350"/>
      <c r="AA27" s="350"/>
      <c r="AB27" s="350"/>
      <c r="AC27" s="350"/>
      <c r="AD27" s="351"/>
      <c r="AE27" s="99" t="str">
        <f>WorkSheet!C27&amp;WorkSheet!G27</f>
        <v>--</v>
      </c>
      <c r="AF27" s="384" t="str">
        <f t="shared" si="3"/>
        <v>--</v>
      </c>
      <c r="AG27" s="384"/>
      <c r="AI27" s="48"/>
    </row>
    <row r="28" spans="1:54" ht="17.100000000000001" customHeight="1" x14ac:dyDescent="0.25">
      <c r="A28" s="59" t="s">
        <v>54</v>
      </c>
      <c r="B28" s="105">
        <v>13</v>
      </c>
      <c r="C28" s="373" t="str">
        <f>IF(樣品清單!B11="","--",樣品清單!B11)</f>
        <v>--</v>
      </c>
      <c r="D28" s="373"/>
      <c r="E28" s="373"/>
      <c r="F28" s="374"/>
      <c r="G28" s="371"/>
      <c r="H28" s="372"/>
      <c r="I28" s="357" t="s">
        <v>97</v>
      </c>
      <c r="J28" s="357"/>
      <c r="K28" s="357"/>
      <c r="L28" s="355" t="str">
        <f t="shared" si="2"/>
        <v>--</v>
      </c>
      <c r="M28" s="355"/>
      <c r="N28" s="355"/>
      <c r="O28" s="409" t="str">
        <f>LEFT(樣品清單!$F11,2)&amp;IF(樣品清單!$F11="","",".")&amp;LEFT(樣品清單!$G11,2)&amp;IF(樣品清單!$G11="","",".")&amp;LEFT(樣品清單!$H11,2)&amp;IF(樣品清單!$H11="","",".")&amp;LEFT(樣品清單!$I11,2)&amp;IF(樣品清單!$I11="","",".")&amp;LEFT(樣品清單!$J11,2)&amp;IF(樣品清單!$J11="","",".")&amp;LEFT(樣品清單!$K11,2)&amp;IF(樣品清單!$K11="","",".")&amp;LEFT(樣品清單!$L11,2)&amp;IF(樣品清單!$L11="","",".")&amp;LEFT(樣品清單!$M11,2)&amp;IF(樣品清單!$M11="","",".")&amp;LEFT(樣品清單!$N11,2)&amp;IF(樣品清單!$N11="","",".")&amp;LEFT(樣品清單!$O11,2)&amp;IF(樣品清單!$O11="","",".")&amp;LEFT(樣品清單!$P11,2)&amp;IF(樣品清單!$P11="","",".")&amp;LEFT(樣品清單!$Q11,2)&amp;IF(樣品清單!$Q11="","",".")&amp;LEFT(樣品清單!$R11,2)&amp;IF(樣品清單!$R11="","",".")&amp;LEFT(樣品清單!$S11,2)&amp;IF(樣品清單!$S11="","",".")&amp;LEFT(樣品清單!$T11,2)&amp;IF(樣品清單!$T11="","",".")&amp;LEFT(樣品清單!$U11,2)&amp;IF(樣品清單!$U11="","",".")&amp;LEFT(樣品清單!$V11,2)&amp;IF(樣品清單!$V11="","",".")&amp;LEFT(樣品清單!$W11,2)&amp;IF(樣品清單!$W11="","",".")&amp;LEFT(樣品清單!$X11,2)&amp;IF(樣品清單!$X11="","",".")&amp;LEFT(樣品清單!$Y11,2)&amp;IF(樣品清單!$Y11="","",".")&amp;LEFT(樣品清單!$Z11,2)&amp;IF(樣品清單!$Z11="","",".")&amp;LEFT(樣品清單!$AA11,2)&amp;IF(樣品清單!$AA11="","",".")&amp;LEFT(樣品清單!$AB11,2)&amp;IF(樣品清單!$AB11="","",".")&amp;LEFT(樣品清單!$AC11,2)</f>
        <v/>
      </c>
      <c r="P28" s="410"/>
      <c r="Q28" s="410"/>
      <c r="R28" s="410"/>
      <c r="S28" s="410"/>
      <c r="T28" s="410"/>
      <c r="U28" s="410"/>
      <c r="V28" s="411"/>
      <c r="W28" s="349" t="s">
        <v>97</v>
      </c>
      <c r="X28" s="350"/>
      <c r="Y28" s="350"/>
      <c r="Z28" s="350"/>
      <c r="AA28" s="350"/>
      <c r="AB28" s="350"/>
      <c r="AC28" s="350"/>
      <c r="AD28" s="351"/>
      <c r="AE28" s="99" t="str">
        <f>WorkSheet!C28&amp;WorkSheet!G28</f>
        <v>--</v>
      </c>
      <c r="AF28" s="384" t="str">
        <f t="shared" si="3"/>
        <v>--</v>
      </c>
      <c r="AG28" s="384"/>
      <c r="AI28" s="48"/>
      <c r="AJ28" s="360" t="s">
        <v>381</v>
      </c>
      <c r="AK28" s="360"/>
      <c r="AL28" s="360"/>
      <c r="AM28" s="360" t="s">
        <v>377</v>
      </c>
      <c r="AN28" s="360"/>
      <c r="AO28" s="360" t="s">
        <v>392</v>
      </c>
      <c r="AP28" s="360"/>
      <c r="AQ28" s="360" t="s">
        <v>378</v>
      </c>
      <c r="AR28" s="360"/>
      <c r="AS28" s="360" t="s">
        <v>391</v>
      </c>
      <c r="AT28" s="360"/>
      <c r="AU28" s="360" t="s">
        <v>380</v>
      </c>
      <c r="AV28" s="360"/>
      <c r="AW28" s="360" t="s">
        <v>393</v>
      </c>
      <c r="AX28" s="360"/>
      <c r="AY28" s="360" t="s">
        <v>379</v>
      </c>
      <c r="AZ28" s="360"/>
      <c r="BA28" s="360" t="s">
        <v>394</v>
      </c>
      <c r="BB28" s="360"/>
    </row>
    <row r="29" spans="1:54" ht="17.100000000000001" customHeight="1" x14ac:dyDescent="0.25">
      <c r="A29" s="59" t="s">
        <v>55</v>
      </c>
      <c r="B29" s="105">
        <v>14</v>
      </c>
      <c r="C29" s="373" t="str">
        <f>IF(樣品清單!B12="","--",樣品清單!B12)</f>
        <v>--</v>
      </c>
      <c r="D29" s="373"/>
      <c r="E29" s="373"/>
      <c r="F29" s="374"/>
      <c r="G29" s="371"/>
      <c r="H29" s="372"/>
      <c r="I29" s="357" t="s">
        <v>97</v>
      </c>
      <c r="J29" s="357"/>
      <c r="K29" s="357"/>
      <c r="L29" s="355" t="str">
        <f t="shared" si="2"/>
        <v>--</v>
      </c>
      <c r="M29" s="355"/>
      <c r="N29" s="355"/>
      <c r="O29" s="409" t="str">
        <f>LEFT(樣品清單!$F12,2)&amp;IF(樣品清單!$F12="","",".")&amp;LEFT(樣品清單!$G12,2)&amp;IF(樣品清單!$G12="","",".")&amp;LEFT(樣品清單!$H12,2)&amp;IF(樣品清單!$H12="","",".")&amp;LEFT(樣品清單!$I12,2)&amp;IF(樣品清單!$I12="","",".")&amp;LEFT(樣品清單!$J12,2)&amp;IF(樣品清單!$J12="","",".")&amp;LEFT(樣品清單!$K12,2)&amp;IF(樣品清單!$K12="","",".")&amp;LEFT(樣品清單!$L12,2)&amp;IF(樣品清單!$L12="","",".")&amp;LEFT(樣品清單!$M12,2)&amp;IF(樣品清單!$M12="","",".")&amp;LEFT(樣品清單!$N12,2)&amp;IF(樣品清單!$N12="","",".")&amp;LEFT(樣品清單!$O12,2)&amp;IF(樣品清單!$O12="","",".")&amp;LEFT(樣品清單!$P12,2)&amp;IF(樣品清單!$P12="","",".")&amp;LEFT(樣品清單!$Q12,2)&amp;IF(樣品清單!$Q12="","",".")&amp;LEFT(樣品清單!$R12,2)&amp;IF(樣品清單!$R12="","",".")&amp;LEFT(樣品清單!$S12,2)&amp;IF(樣品清單!$S12="","",".")&amp;LEFT(樣品清單!$T12,2)&amp;IF(樣品清單!$T12="","",".")&amp;LEFT(樣品清單!$U12,2)&amp;IF(樣品清單!$U12="","",".")&amp;LEFT(樣品清單!$V12,2)&amp;IF(樣品清單!$V12="","",".")&amp;LEFT(樣品清單!$W12,2)&amp;IF(樣品清單!$W12="","",".")&amp;LEFT(樣品清單!$X12,2)&amp;IF(樣品清單!$X12="","",".")&amp;LEFT(樣品清單!$Y12,2)&amp;IF(樣品清單!$Y12="","",".")&amp;LEFT(樣品清單!$Z12,2)&amp;IF(樣品清單!$Z12="","",".")&amp;LEFT(樣品清單!$AA12,2)&amp;IF(樣品清單!$AA12="","",".")&amp;LEFT(樣品清單!$AB12,2)&amp;IF(樣品清單!$AB12="","",".")&amp;LEFT(樣品清單!$AC12,2)</f>
        <v/>
      </c>
      <c r="P29" s="410"/>
      <c r="Q29" s="410"/>
      <c r="R29" s="410"/>
      <c r="S29" s="410"/>
      <c r="T29" s="410"/>
      <c r="U29" s="410"/>
      <c r="V29" s="411"/>
      <c r="W29" s="349" t="s">
        <v>97</v>
      </c>
      <c r="X29" s="350"/>
      <c r="Y29" s="350"/>
      <c r="Z29" s="350"/>
      <c r="AA29" s="350"/>
      <c r="AB29" s="350"/>
      <c r="AC29" s="350"/>
      <c r="AD29" s="351"/>
      <c r="AE29" s="99" t="str">
        <f>WorkSheet!C29&amp;WorkSheet!G29</f>
        <v>--</v>
      </c>
      <c r="AF29" s="384" t="str">
        <f t="shared" si="3"/>
        <v>--</v>
      </c>
      <c r="AG29" s="384"/>
      <c r="AJ29" s="360" t="s">
        <v>383</v>
      </c>
      <c r="AK29" s="360" t="s">
        <v>383</v>
      </c>
      <c r="AL29" s="360"/>
      <c r="AM29" s="360">
        <v>1800</v>
      </c>
      <c r="AN29" s="360"/>
      <c r="AO29" s="360">
        <v>40</v>
      </c>
      <c r="AP29" s="360"/>
      <c r="AQ29" s="360">
        <v>180</v>
      </c>
      <c r="AR29" s="360"/>
      <c r="AS29" s="361" t="s">
        <v>387</v>
      </c>
      <c r="AT29" s="360"/>
      <c r="AU29" s="360">
        <v>1800</v>
      </c>
      <c r="AV29" s="360"/>
      <c r="AW29" s="361" t="s">
        <v>387</v>
      </c>
      <c r="AX29" s="360"/>
      <c r="AY29" s="360">
        <v>180</v>
      </c>
      <c r="AZ29" s="360"/>
      <c r="BA29" s="360">
        <v>20</v>
      </c>
      <c r="BB29" s="360"/>
    </row>
    <row r="30" spans="1:54" ht="17.100000000000001" customHeight="1" x14ac:dyDescent="0.25">
      <c r="A30" s="59" t="s">
        <v>56</v>
      </c>
      <c r="B30" s="105">
        <v>15</v>
      </c>
      <c r="C30" s="373" t="str">
        <f>IF(樣品清單!B13="","--",樣品清單!B13)</f>
        <v>--</v>
      </c>
      <c r="D30" s="373"/>
      <c r="E30" s="373"/>
      <c r="F30" s="374"/>
      <c r="G30" s="371"/>
      <c r="H30" s="372"/>
      <c r="I30" s="357" t="s">
        <v>97</v>
      </c>
      <c r="J30" s="357"/>
      <c r="K30" s="357"/>
      <c r="L30" s="355" t="str">
        <f t="shared" si="2"/>
        <v>--</v>
      </c>
      <c r="M30" s="355"/>
      <c r="N30" s="355"/>
      <c r="O30" s="409" t="str">
        <f>LEFT(樣品清單!$F13,2)&amp;IF(樣品清單!$F13="","",".")&amp;LEFT(樣品清單!$G13,2)&amp;IF(樣品清單!$G13="","",".")&amp;LEFT(樣品清單!$H13,2)&amp;IF(樣品清單!$H13="","",".")&amp;LEFT(樣品清單!$I13,2)&amp;IF(樣品清單!$I13="","",".")&amp;LEFT(樣品清單!$J13,2)&amp;IF(樣品清單!$J13="","",".")&amp;LEFT(樣品清單!$K13,2)&amp;IF(樣品清單!$K13="","",".")&amp;LEFT(樣品清單!$L13,2)&amp;IF(樣品清單!$L13="","",".")&amp;LEFT(樣品清單!$M13,2)&amp;IF(樣品清單!$M13="","",".")&amp;LEFT(樣品清單!$N13,2)&amp;IF(樣品清單!$N13="","",".")&amp;LEFT(樣品清單!$O13,2)&amp;IF(樣品清單!$O13="","",".")&amp;LEFT(樣品清單!$P13,2)&amp;IF(樣品清單!$P13="","",".")&amp;LEFT(樣品清單!$Q13,2)&amp;IF(樣品清單!$Q13="","",".")&amp;LEFT(樣品清單!$R13,2)&amp;IF(樣品清單!$R13="","",".")&amp;LEFT(樣品清單!$S13,2)&amp;IF(樣品清單!$S13="","",".")&amp;LEFT(樣品清單!$T13,2)&amp;IF(樣品清單!$T13="","",".")&amp;LEFT(樣品清單!$U13,2)&amp;IF(樣品清單!$U13="","",".")&amp;LEFT(樣品清單!$V13,2)&amp;IF(樣品清單!$V13="","",".")&amp;LEFT(樣品清單!$W13,2)&amp;IF(樣品清單!$W13="","",".")&amp;LEFT(樣品清單!$X13,2)&amp;IF(樣品清單!$X13="","",".")&amp;LEFT(樣品清單!$Y13,2)&amp;IF(樣品清單!$Y13="","",".")&amp;LEFT(樣品清單!$Z13,2)&amp;IF(樣品清單!$Z13="","",".")&amp;LEFT(樣品清單!$AA13,2)&amp;IF(樣品清單!$AA13="","",".")&amp;LEFT(樣品清單!$AB13,2)&amp;IF(樣品清單!$AB13="","",".")&amp;LEFT(樣品清單!$AC13,2)</f>
        <v/>
      </c>
      <c r="P30" s="410"/>
      <c r="Q30" s="410"/>
      <c r="R30" s="410"/>
      <c r="S30" s="410"/>
      <c r="T30" s="410"/>
      <c r="U30" s="410"/>
      <c r="V30" s="411"/>
      <c r="W30" s="349" t="s">
        <v>97</v>
      </c>
      <c r="X30" s="350"/>
      <c r="Y30" s="350"/>
      <c r="Z30" s="350"/>
      <c r="AA30" s="350"/>
      <c r="AB30" s="350"/>
      <c r="AC30" s="350"/>
      <c r="AD30" s="351"/>
      <c r="AE30" s="99" t="str">
        <f>WorkSheet!C30&amp;WorkSheet!G30</f>
        <v>--</v>
      </c>
      <c r="AF30" s="384" t="str">
        <f t="shared" si="3"/>
        <v>--</v>
      </c>
      <c r="AG30" s="384"/>
      <c r="AJ30" s="360" t="s">
        <v>388</v>
      </c>
      <c r="AK30" s="360" t="s">
        <v>383</v>
      </c>
      <c r="AL30" s="360"/>
      <c r="AM30" s="360">
        <v>1800</v>
      </c>
      <c r="AN30" s="360"/>
      <c r="AO30" s="360">
        <v>10</v>
      </c>
      <c r="AP30" s="360"/>
      <c r="AQ30" s="360">
        <v>200</v>
      </c>
      <c r="AR30" s="360"/>
      <c r="AS30" s="361" t="s">
        <v>387</v>
      </c>
      <c r="AT30" s="360"/>
      <c r="AU30" s="360">
        <v>1800</v>
      </c>
      <c r="AV30" s="360"/>
      <c r="AW30" s="361" t="s">
        <v>387</v>
      </c>
      <c r="AX30" s="360"/>
      <c r="AY30" s="360">
        <v>200</v>
      </c>
      <c r="AZ30" s="360"/>
      <c r="BA30" s="360">
        <v>25</v>
      </c>
      <c r="BB30" s="360"/>
    </row>
    <row r="31" spans="1:54" ht="15.75" x14ac:dyDescent="0.25">
      <c r="A31" s="59" t="s">
        <v>57</v>
      </c>
      <c r="B31" s="105">
        <v>16</v>
      </c>
      <c r="C31" s="373" t="str">
        <f>IF(樣品清單!B14="","--",樣品清單!B14)</f>
        <v>--</v>
      </c>
      <c r="D31" s="373"/>
      <c r="E31" s="373"/>
      <c r="F31" s="374"/>
      <c r="G31" s="371"/>
      <c r="H31" s="372"/>
      <c r="I31" s="357" t="s">
        <v>97</v>
      </c>
      <c r="J31" s="357"/>
      <c r="K31" s="357"/>
      <c r="L31" s="355" t="str">
        <f t="shared" si="2"/>
        <v>--</v>
      </c>
      <c r="M31" s="355"/>
      <c r="N31" s="355"/>
      <c r="O31" s="409" t="str">
        <f>LEFT(樣品清單!$F14,2)&amp;IF(樣品清單!$F14="","",".")&amp;LEFT(樣品清單!$G14,2)&amp;IF(樣品清單!$G14="","",".")&amp;LEFT(樣品清單!$H14,2)&amp;IF(樣品清單!$H14="","",".")&amp;LEFT(樣品清單!$I14,2)&amp;IF(樣品清單!$I14="","",".")&amp;LEFT(樣品清單!$J14,2)&amp;IF(樣品清單!$J14="","",".")&amp;LEFT(樣品清單!$K14,2)&amp;IF(樣品清單!$K14="","",".")&amp;LEFT(樣品清單!$L14,2)&amp;IF(樣品清單!$L14="","",".")&amp;LEFT(樣品清單!$M14,2)&amp;IF(樣品清單!$M14="","",".")&amp;LEFT(樣品清單!$N14,2)&amp;IF(樣品清單!$N14="","",".")&amp;LEFT(樣品清單!$O14,2)&amp;IF(樣品清單!$O14="","",".")&amp;LEFT(樣品清單!$P14,2)&amp;IF(樣品清單!$P14="","",".")&amp;LEFT(樣品清單!$Q14,2)&amp;IF(樣品清單!$Q14="","",".")&amp;LEFT(樣品清單!$R14,2)&amp;IF(樣品清單!$R14="","",".")&amp;LEFT(樣品清單!$S14,2)&amp;IF(樣品清單!$S14="","",".")&amp;LEFT(樣品清單!$T14,2)&amp;IF(樣品清單!$T14="","",".")&amp;LEFT(樣品清單!$U14,2)&amp;IF(樣品清單!$U14="","",".")&amp;LEFT(樣品清單!$V14,2)&amp;IF(樣品清單!$V14="","",".")&amp;LEFT(樣品清單!$W14,2)&amp;IF(樣品清單!$W14="","",".")&amp;LEFT(樣品清單!$X14,2)&amp;IF(樣品清單!$X14="","",".")&amp;LEFT(樣品清單!$Y14,2)&amp;IF(樣品清單!$Y14="","",".")&amp;LEFT(樣品清單!$Z14,2)&amp;IF(樣品清單!$Z14="","",".")&amp;LEFT(樣品清單!$AA14,2)&amp;IF(樣品清單!$AA14="","",".")&amp;LEFT(樣品清單!$AB14,2)&amp;IF(樣品清單!$AB14="","",".")&amp;LEFT(樣品清單!$AC14,2)</f>
        <v/>
      </c>
      <c r="P31" s="410"/>
      <c r="Q31" s="410"/>
      <c r="R31" s="410"/>
      <c r="S31" s="410"/>
      <c r="T31" s="410"/>
      <c r="U31" s="410"/>
      <c r="V31" s="411"/>
      <c r="W31" s="349" t="s">
        <v>97</v>
      </c>
      <c r="X31" s="350"/>
      <c r="Y31" s="350"/>
      <c r="Z31" s="350"/>
      <c r="AA31" s="350"/>
      <c r="AB31" s="350"/>
      <c r="AC31" s="350"/>
      <c r="AD31" s="351"/>
      <c r="AE31" s="99" t="str">
        <f>WorkSheet!C31&amp;WorkSheet!G31</f>
        <v>--</v>
      </c>
      <c r="AF31" s="384" t="str">
        <f t="shared" si="3"/>
        <v>--</v>
      </c>
      <c r="AG31" s="384"/>
      <c r="AJ31" s="360" t="s">
        <v>384</v>
      </c>
      <c r="AK31" s="360" t="s">
        <v>382</v>
      </c>
      <c r="AL31" s="360"/>
      <c r="AM31" s="360">
        <v>1800</v>
      </c>
      <c r="AN31" s="360"/>
      <c r="AO31" s="360">
        <v>40</v>
      </c>
      <c r="AP31" s="360"/>
      <c r="AQ31" s="360">
        <v>200</v>
      </c>
      <c r="AR31" s="360"/>
      <c r="AS31" s="361" t="s">
        <v>387</v>
      </c>
      <c r="AT31" s="360"/>
      <c r="AU31" s="360">
        <v>1800</v>
      </c>
      <c r="AV31" s="360"/>
      <c r="AW31" s="361" t="s">
        <v>387</v>
      </c>
      <c r="AX31" s="360"/>
      <c r="AY31" s="360">
        <v>200</v>
      </c>
      <c r="AZ31" s="360"/>
      <c r="BA31" s="360">
        <v>25</v>
      </c>
      <c r="BB31" s="360"/>
    </row>
    <row r="32" spans="1:54" ht="15.75" x14ac:dyDescent="0.25">
      <c r="A32" s="59" t="s">
        <v>58</v>
      </c>
      <c r="B32" s="105">
        <v>17</v>
      </c>
      <c r="C32" s="373" t="str">
        <f>IF(樣品清單!B15="","--",樣品清單!B15)</f>
        <v>--</v>
      </c>
      <c r="D32" s="373"/>
      <c r="E32" s="373"/>
      <c r="F32" s="374"/>
      <c r="G32" s="371"/>
      <c r="H32" s="372"/>
      <c r="I32" s="357" t="s">
        <v>97</v>
      </c>
      <c r="J32" s="357"/>
      <c r="K32" s="357"/>
      <c r="L32" s="355" t="str">
        <f t="shared" si="2"/>
        <v>--</v>
      </c>
      <c r="M32" s="355"/>
      <c r="N32" s="355"/>
      <c r="O32" s="409" t="str">
        <f>LEFT(樣品清單!$F15,2)&amp;IF(樣品清單!$F15="","",".")&amp;LEFT(樣品清單!$G15,2)&amp;IF(樣品清單!$G15="","",".")&amp;LEFT(樣品清單!$H15,2)&amp;IF(樣品清單!$H15="","",".")&amp;LEFT(樣品清單!$I15,2)&amp;IF(樣品清單!$I15="","",".")&amp;LEFT(樣品清單!$J15,2)&amp;IF(樣品清單!$J15="","",".")&amp;LEFT(樣品清單!$K15,2)&amp;IF(樣品清單!$K15="","",".")&amp;LEFT(樣品清單!$L15,2)&amp;IF(樣品清單!$L15="","",".")&amp;LEFT(樣品清單!$M15,2)&amp;IF(樣品清單!$M15="","",".")&amp;LEFT(樣品清單!$N15,2)&amp;IF(樣品清單!$N15="","",".")&amp;LEFT(樣品清單!$O15,2)&amp;IF(樣品清單!$O15="","",".")&amp;LEFT(樣品清單!$P15,2)&amp;IF(樣品清單!$P15="","",".")&amp;LEFT(樣品清單!$Q15,2)&amp;IF(樣品清單!$Q15="","",".")&amp;LEFT(樣品清單!$R15,2)&amp;IF(樣品清單!$R15="","",".")&amp;LEFT(樣品清單!$S15,2)&amp;IF(樣品清單!$S15="","",".")&amp;LEFT(樣品清單!$T15,2)&amp;IF(樣品清單!$T15="","",".")&amp;LEFT(樣品清單!$U15,2)&amp;IF(樣品清單!$U15="","",".")&amp;LEFT(樣品清單!$V15,2)&amp;IF(樣品清單!$V15="","",".")&amp;LEFT(樣品清單!$W15,2)&amp;IF(樣品清單!$W15="","",".")&amp;LEFT(樣品清單!$X15,2)&amp;IF(樣品清單!$X15="","",".")&amp;LEFT(樣品清單!$Y15,2)&amp;IF(樣品清單!$Y15="","",".")&amp;LEFT(樣品清單!$Z15,2)&amp;IF(樣品清單!$Z15="","",".")&amp;LEFT(樣品清單!$AA15,2)&amp;IF(樣品清單!$AA15="","",".")&amp;LEFT(樣品清單!$AB15,2)&amp;IF(樣品清單!$AB15="","",".")&amp;LEFT(樣品清單!$AC15,2)</f>
        <v/>
      </c>
      <c r="P32" s="410"/>
      <c r="Q32" s="410"/>
      <c r="R32" s="410"/>
      <c r="S32" s="410"/>
      <c r="T32" s="410"/>
      <c r="U32" s="410"/>
      <c r="V32" s="411"/>
      <c r="W32" s="349" t="s">
        <v>97</v>
      </c>
      <c r="X32" s="350"/>
      <c r="Y32" s="350"/>
      <c r="Z32" s="350"/>
      <c r="AA32" s="350"/>
      <c r="AB32" s="350"/>
      <c r="AC32" s="350"/>
      <c r="AD32" s="351"/>
      <c r="AE32" s="99" t="str">
        <f>WorkSheet!C32&amp;WorkSheet!G32</f>
        <v>--</v>
      </c>
      <c r="AF32" s="384" t="str">
        <f t="shared" si="3"/>
        <v>--</v>
      </c>
      <c r="AG32" s="384"/>
      <c r="AJ32" s="360" t="s">
        <v>385</v>
      </c>
      <c r="AK32" s="360" t="s">
        <v>382</v>
      </c>
      <c r="AL32" s="360"/>
      <c r="AM32" s="360">
        <v>1800</v>
      </c>
      <c r="AN32" s="360"/>
      <c r="AO32" s="360">
        <v>20</v>
      </c>
      <c r="AP32" s="360"/>
      <c r="AQ32" s="360">
        <v>140</v>
      </c>
      <c r="AR32" s="360"/>
      <c r="AS32" s="361">
        <v>5</v>
      </c>
      <c r="AT32" s="360"/>
      <c r="AU32" s="360">
        <v>1800</v>
      </c>
      <c r="AV32" s="360"/>
      <c r="AW32" s="361">
        <v>10</v>
      </c>
      <c r="AX32" s="360"/>
      <c r="AY32" s="360">
        <v>160</v>
      </c>
      <c r="AZ32" s="360"/>
      <c r="BA32" s="360">
        <v>25</v>
      </c>
      <c r="BB32" s="360"/>
    </row>
    <row r="33" spans="1:54" ht="15.75" x14ac:dyDescent="0.25">
      <c r="A33" s="59" t="s">
        <v>59</v>
      </c>
      <c r="B33" s="105">
        <v>18</v>
      </c>
      <c r="C33" s="373" t="str">
        <f>IF(樣品清單!B16="","--",樣品清單!B16)</f>
        <v>--</v>
      </c>
      <c r="D33" s="373"/>
      <c r="E33" s="373"/>
      <c r="F33" s="374"/>
      <c r="G33" s="371"/>
      <c r="H33" s="372"/>
      <c r="I33" s="357" t="s">
        <v>97</v>
      </c>
      <c r="J33" s="357"/>
      <c r="K33" s="357"/>
      <c r="L33" s="355" t="str">
        <f t="shared" si="2"/>
        <v>--</v>
      </c>
      <c r="M33" s="355"/>
      <c r="N33" s="355"/>
      <c r="O33" s="409" t="str">
        <f>LEFT(樣品清單!$F16,2)&amp;IF(樣品清單!$F16="","",".")&amp;LEFT(樣品清單!$G16,2)&amp;IF(樣品清單!$G16="","",".")&amp;LEFT(樣品清單!$H16,2)&amp;IF(樣品清單!$H16="","",".")&amp;LEFT(樣品清單!$I16,2)&amp;IF(樣品清單!$I16="","",".")&amp;LEFT(樣品清單!$J16,2)&amp;IF(樣品清單!$J16="","",".")&amp;LEFT(樣品清單!$K16,2)&amp;IF(樣品清單!$K16="","",".")&amp;LEFT(樣品清單!$L16,2)&amp;IF(樣品清單!$L16="","",".")&amp;LEFT(樣品清單!$M16,2)&amp;IF(樣品清單!$M16="","",".")&amp;LEFT(樣品清單!$N16,2)&amp;IF(樣品清單!$N16="","",".")&amp;LEFT(樣品清單!$O16,2)&amp;IF(樣品清單!$O16="","",".")&amp;LEFT(樣品清單!$P16,2)&amp;IF(樣品清單!$P16="","",".")&amp;LEFT(樣品清單!$Q16,2)&amp;IF(樣品清單!$Q16="","",".")&amp;LEFT(樣品清單!$R16,2)&amp;IF(樣品清單!$R16="","",".")&amp;LEFT(樣品清單!$S16,2)&amp;IF(樣品清單!$S16="","",".")&amp;LEFT(樣品清單!$T16,2)&amp;IF(樣品清單!$T16="","",".")&amp;LEFT(樣品清單!$U16,2)&amp;IF(樣品清單!$U16="","",".")&amp;LEFT(樣品清單!$V16,2)&amp;IF(樣品清單!$V16="","",".")&amp;LEFT(樣品清單!$W16,2)&amp;IF(樣品清單!$W16="","",".")&amp;LEFT(樣品清單!$X16,2)&amp;IF(樣品清單!$X16="","",".")&amp;LEFT(樣品清單!$Y16,2)&amp;IF(樣品清單!$Y16="","",".")&amp;LEFT(樣品清單!$Z16,2)&amp;IF(樣品清單!$Z16="","",".")&amp;LEFT(樣品清單!$AA16,2)&amp;IF(樣品清單!$AA16="","",".")&amp;LEFT(樣品清單!$AB16,2)&amp;IF(樣品清單!$AB16="","",".")&amp;LEFT(樣品清單!$AC16,2)</f>
        <v/>
      </c>
      <c r="P33" s="410"/>
      <c r="Q33" s="410"/>
      <c r="R33" s="410"/>
      <c r="S33" s="410"/>
      <c r="T33" s="410"/>
      <c r="U33" s="410"/>
      <c r="V33" s="411"/>
      <c r="W33" s="349" t="s">
        <v>97</v>
      </c>
      <c r="X33" s="350"/>
      <c r="Y33" s="350"/>
      <c r="Z33" s="350"/>
      <c r="AA33" s="350"/>
      <c r="AB33" s="350"/>
      <c r="AC33" s="350"/>
      <c r="AD33" s="351"/>
      <c r="AE33" s="99" t="str">
        <f>WorkSheet!C33&amp;WorkSheet!G33</f>
        <v>--</v>
      </c>
      <c r="AF33" s="384" t="str">
        <f t="shared" si="3"/>
        <v>--</v>
      </c>
      <c r="AG33" s="384"/>
      <c r="AJ33" s="360" t="s">
        <v>395</v>
      </c>
      <c r="AK33" s="360" t="s">
        <v>386</v>
      </c>
      <c r="AL33" s="360"/>
      <c r="AM33" s="361">
        <v>1800</v>
      </c>
      <c r="AN33" s="360"/>
      <c r="AO33" s="360">
        <v>25</v>
      </c>
      <c r="AP33" s="360"/>
      <c r="AQ33" s="360">
        <v>210</v>
      </c>
      <c r="AR33" s="360"/>
      <c r="AS33" s="361">
        <v>5</v>
      </c>
      <c r="AT33" s="360"/>
      <c r="AU33" s="361">
        <v>1800</v>
      </c>
      <c r="AV33" s="360"/>
      <c r="AW33" s="361">
        <v>15</v>
      </c>
      <c r="AX33" s="360"/>
      <c r="AY33" s="360">
        <v>230</v>
      </c>
      <c r="AZ33" s="360"/>
      <c r="BA33" s="360">
        <v>30</v>
      </c>
      <c r="BB33" s="360"/>
    </row>
    <row r="34" spans="1:54" ht="15.75" x14ac:dyDescent="0.25">
      <c r="A34" s="59" t="s">
        <v>60</v>
      </c>
      <c r="B34" s="105">
        <v>19</v>
      </c>
      <c r="C34" s="373" t="str">
        <f>IF(樣品清單!B17="","--",樣品清單!B17)</f>
        <v>--</v>
      </c>
      <c r="D34" s="373"/>
      <c r="E34" s="373"/>
      <c r="F34" s="374"/>
      <c r="G34" s="371"/>
      <c r="H34" s="372"/>
      <c r="I34" s="357" t="s">
        <v>97</v>
      </c>
      <c r="J34" s="357"/>
      <c r="K34" s="357"/>
      <c r="L34" s="355" t="str">
        <f t="shared" si="2"/>
        <v>--</v>
      </c>
      <c r="M34" s="355"/>
      <c r="N34" s="355"/>
      <c r="O34" s="409" t="str">
        <f>LEFT(樣品清單!$F17,2)&amp;IF(樣品清單!$F17="","",".")&amp;LEFT(樣品清單!$G17,2)&amp;IF(樣品清單!$G17="","",".")&amp;LEFT(樣品清單!$H17,2)&amp;IF(樣品清單!$H17="","",".")&amp;LEFT(樣品清單!$I17,2)&amp;IF(樣品清單!$I17="","",".")&amp;LEFT(樣品清單!$J17,2)&amp;IF(樣品清單!$J17="","",".")&amp;LEFT(樣品清單!$K17,2)&amp;IF(樣品清單!$K17="","",".")&amp;LEFT(樣品清單!$L17,2)&amp;IF(樣品清單!$L17="","",".")&amp;LEFT(樣品清單!$M17,2)&amp;IF(樣品清單!$M17="","",".")&amp;LEFT(樣品清單!$N17,2)&amp;IF(樣品清單!$N17="","",".")&amp;LEFT(樣品清單!$O17,2)&amp;IF(樣品清單!$O17="","",".")&amp;LEFT(樣品清單!$P17,2)&amp;IF(樣品清單!$P17="","",".")&amp;LEFT(樣品清單!$Q17,2)&amp;IF(樣品清單!$Q17="","",".")&amp;LEFT(樣品清單!$R17,2)&amp;IF(樣品清單!$R17="","",".")&amp;LEFT(樣品清單!$S17,2)&amp;IF(樣品清單!$S17="","",".")&amp;LEFT(樣品清單!$T17,2)&amp;IF(樣品清單!$T17="","",".")&amp;LEFT(樣品清單!$U17,2)&amp;IF(樣品清單!$U17="","",".")&amp;LEFT(樣品清單!$V17,2)&amp;IF(樣品清單!$V17="","",".")&amp;LEFT(樣品清單!$W17,2)&amp;IF(樣品清單!$W17="","",".")&amp;LEFT(樣品清單!$X17,2)&amp;IF(樣品清單!$X17="","",".")&amp;LEFT(樣品清單!$Y17,2)&amp;IF(樣品清單!$Y17="","",".")&amp;LEFT(樣品清單!$Z17,2)&amp;IF(樣品清單!$Z17="","",".")&amp;LEFT(樣品清單!$AA17,2)&amp;IF(樣品清單!$AA17="","",".")&amp;LEFT(樣品清單!$AB17,2)&amp;IF(樣品清單!$AB17="","",".")&amp;LEFT(樣品清單!$AC17,2)</f>
        <v/>
      </c>
      <c r="P34" s="410"/>
      <c r="Q34" s="410"/>
      <c r="R34" s="410"/>
      <c r="S34" s="410"/>
      <c r="T34" s="410"/>
      <c r="U34" s="410"/>
      <c r="V34" s="411"/>
      <c r="W34" s="349" t="s">
        <v>97</v>
      </c>
      <c r="X34" s="350"/>
      <c r="Y34" s="350"/>
      <c r="Z34" s="350"/>
      <c r="AA34" s="350"/>
      <c r="AB34" s="350"/>
      <c r="AC34" s="350"/>
      <c r="AD34" s="351"/>
      <c r="AE34" s="99" t="str">
        <f>WorkSheet!C34&amp;WorkSheet!G34</f>
        <v>--</v>
      </c>
      <c r="AF34" s="384" t="str">
        <f t="shared" si="3"/>
        <v>--</v>
      </c>
      <c r="AG34" s="384"/>
      <c r="AJ34" s="360" t="s">
        <v>389</v>
      </c>
      <c r="AK34" s="360" t="s">
        <v>386</v>
      </c>
      <c r="AL34" s="360"/>
      <c r="AM34" s="361" t="s">
        <v>387</v>
      </c>
      <c r="AN34" s="360"/>
      <c r="AO34" s="361" t="s">
        <v>387</v>
      </c>
      <c r="AP34" s="360"/>
      <c r="AQ34" s="360">
        <v>90</v>
      </c>
      <c r="AR34" s="360"/>
      <c r="AS34" s="361">
        <v>30</v>
      </c>
      <c r="AT34" s="360"/>
      <c r="AU34" s="361" t="s">
        <v>387</v>
      </c>
      <c r="AV34" s="360"/>
      <c r="AW34" s="361" t="s">
        <v>387</v>
      </c>
      <c r="AX34" s="360"/>
      <c r="AY34" s="360">
        <v>95</v>
      </c>
      <c r="AZ34" s="360"/>
      <c r="BA34" s="360">
        <v>30</v>
      </c>
      <c r="BB34" s="360"/>
    </row>
    <row r="35" spans="1:54" ht="15.75" x14ac:dyDescent="0.25">
      <c r="A35" s="59" t="s">
        <v>61</v>
      </c>
      <c r="B35" s="105">
        <v>20</v>
      </c>
      <c r="C35" s="373" t="str">
        <f>IF(樣品清單!B18="","--",樣品清單!B18)</f>
        <v>--</v>
      </c>
      <c r="D35" s="373"/>
      <c r="E35" s="373"/>
      <c r="F35" s="374"/>
      <c r="G35" s="371"/>
      <c r="H35" s="372"/>
      <c r="I35" s="357" t="s">
        <v>97</v>
      </c>
      <c r="J35" s="357"/>
      <c r="K35" s="357"/>
      <c r="L35" s="355" t="str">
        <f t="shared" si="2"/>
        <v>--</v>
      </c>
      <c r="M35" s="355"/>
      <c r="N35" s="355"/>
      <c r="O35" s="409" t="str">
        <f>LEFT(樣品清單!$F18,2)&amp;IF(樣品清單!$F18="","",".")&amp;LEFT(樣品清單!$G18,2)&amp;IF(樣品清單!$G18="","",".")&amp;LEFT(樣品清單!$H18,2)&amp;IF(樣品清單!$H18="","",".")&amp;LEFT(樣品清單!$I18,2)&amp;IF(樣品清單!$I18="","",".")&amp;LEFT(樣品清單!$J18,2)&amp;IF(樣品清單!$J18="","",".")&amp;LEFT(樣品清單!$K18,2)&amp;IF(樣品清單!$K18="","",".")&amp;LEFT(樣品清單!$L18,2)&amp;IF(樣品清單!$L18="","",".")&amp;LEFT(樣品清單!$M18,2)&amp;IF(樣品清單!$M18="","",".")&amp;LEFT(樣品清單!$N18,2)&amp;IF(樣品清單!$N18="","",".")&amp;LEFT(樣品清單!$O18,2)&amp;IF(樣品清單!$O18="","",".")&amp;LEFT(樣品清單!$P18,2)&amp;IF(樣品清單!$P18="","",".")&amp;LEFT(樣品清單!$Q18,2)&amp;IF(樣品清單!$Q18="","",".")&amp;LEFT(樣品清單!$R18,2)&amp;IF(樣品清單!$R18="","",".")&amp;LEFT(樣品清單!$S18,2)&amp;IF(樣品清單!$S18="","",".")&amp;LEFT(樣品清單!$T18,2)&amp;IF(樣品清單!$T18="","",".")&amp;LEFT(樣品清單!$U18,2)&amp;IF(樣品清單!$U18="","",".")&amp;LEFT(樣品清單!$V18,2)&amp;IF(樣品清單!$V18="","",".")&amp;LEFT(樣品清單!$W18,2)&amp;IF(樣品清單!$W18="","",".")&amp;LEFT(樣品清單!$X18,2)&amp;IF(樣品清單!$X18="","",".")&amp;LEFT(樣品清單!$Y18,2)&amp;IF(樣品清單!$Y18="","",".")&amp;LEFT(樣品清單!$Z18,2)&amp;IF(樣品清單!$Z18="","",".")&amp;LEFT(樣品清單!$AA18,2)&amp;IF(樣品清單!$AA18="","",".")&amp;LEFT(樣品清單!$AB18,2)&amp;IF(樣品清單!$AB18="","",".")&amp;LEFT(樣品清單!$AC18,2)</f>
        <v/>
      </c>
      <c r="P35" s="410"/>
      <c r="Q35" s="410"/>
      <c r="R35" s="410"/>
      <c r="S35" s="410"/>
      <c r="T35" s="410"/>
      <c r="U35" s="410"/>
      <c r="V35" s="411"/>
      <c r="W35" s="349" t="s">
        <v>97</v>
      </c>
      <c r="X35" s="350"/>
      <c r="Y35" s="350"/>
      <c r="Z35" s="350"/>
      <c r="AA35" s="350"/>
      <c r="AB35" s="350"/>
      <c r="AC35" s="350"/>
      <c r="AD35" s="351"/>
      <c r="AE35" s="99" t="str">
        <f>WorkSheet!C35&amp;WorkSheet!G35</f>
        <v>--</v>
      </c>
      <c r="AF35" s="384" t="str">
        <f t="shared" si="3"/>
        <v>--</v>
      </c>
      <c r="AG35" s="384"/>
      <c r="AJ35" s="360" t="s">
        <v>390</v>
      </c>
      <c r="AK35" s="360"/>
      <c r="AL35" s="360"/>
      <c r="AM35" s="361" t="s">
        <v>387</v>
      </c>
      <c r="AN35" s="360"/>
      <c r="AO35" s="361" t="s">
        <v>387</v>
      </c>
      <c r="AP35" s="360"/>
      <c r="AQ35" s="360">
        <v>60</v>
      </c>
      <c r="AR35" s="360"/>
      <c r="AS35" s="361">
        <v>30</v>
      </c>
      <c r="AT35" s="360"/>
      <c r="AU35" s="361" t="s">
        <v>387</v>
      </c>
      <c r="AV35" s="360"/>
      <c r="AW35" s="361" t="s">
        <v>387</v>
      </c>
      <c r="AX35" s="360"/>
      <c r="AY35" s="360">
        <v>95</v>
      </c>
      <c r="AZ35" s="360"/>
      <c r="BA35" s="360">
        <v>90</v>
      </c>
      <c r="BB35" s="360"/>
    </row>
    <row r="36" spans="1:54" ht="15.75" x14ac:dyDescent="0.25">
      <c r="A36" s="59" t="s">
        <v>62</v>
      </c>
      <c r="B36" s="105">
        <v>21</v>
      </c>
      <c r="C36" s="373" t="str">
        <f>IF(樣品清單!B19="","--",樣品清單!B19)</f>
        <v>--</v>
      </c>
      <c r="D36" s="373"/>
      <c r="E36" s="373"/>
      <c r="F36" s="374"/>
      <c r="G36" s="371"/>
      <c r="H36" s="372"/>
      <c r="I36" s="357" t="s">
        <v>97</v>
      </c>
      <c r="J36" s="357"/>
      <c r="K36" s="357"/>
      <c r="L36" s="355" t="str">
        <f t="shared" si="2"/>
        <v>--</v>
      </c>
      <c r="M36" s="355"/>
      <c r="N36" s="355"/>
      <c r="O36" s="409" t="str">
        <f>LEFT(樣品清單!$F19,2)&amp;IF(樣品清單!$F19="","",".")&amp;LEFT(樣品清單!$G19,2)&amp;IF(樣品清單!$G19="","",".")&amp;LEFT(樣品清單!$H19,2)&amp;IF(樣品清單!$H19="","",".")&amp;LEFT(樣品清單!$I19,2)&amp;IF(樣品清單!$I19="","",".")&amp;LEFT(樣品清單!$J19,2)&amp;IF(樣品清單!$J19="","",".")&amp;LEFT(樣品清單!$K19,2)&amp;IF(樣品清單!$K19="","",".")&amp;LEFT(樣品清單!$L19,2)&amp;IF(樣品清單!$L19="","",".")&amp;LEFT(樣品清單!$M19,2)&amp;IF(樣品清單!$M19="","",".")&amp;LEFT(樣品清單!$N19,2)&amp;IF(樣品清單!$N19="","",".")&amp;LEFT(樣品清單!$O19,2)&amp;IF(樣品清單!$O19="","",".")&amp;LEFT(樣品清單!$P19,2)&amp;IF(樣品清單!$P19="","",".")&amp;LEFT(樣品清單!$Q19,2)&amp;IF(樣品清單!$Q19="","",".")&amp;LEFT(樣品清單!$R19,2)&amp;IF(樣品清單!$R19="","",".")&amp;LEFT(樣品清單!$S19,2)&amp;IF(樣品清單!$S19="","",".")&amp;LEFT(樣品清單!$T19,2)&amp;IF(樣品清單!$T19="","",".")&amp;LEFT(樣品清單!$U19,2)&amp;IF(樣品清單!$U19="","",".")&amp;LEFT(樣品清單!$V19,2)&amp;IF(樣品清單!$V19="","",".")&amp;LEFT(樣品清單!$W19,2)&amp;IF(樣品清單!$W19="","",".")&amp;LEFT(樣品清單!$X19,2)&amp;IF(樣品清單!$X19="","",".")&amp;LEFT(樣品清單!$Y19,2)&amp;IF(樣品清單!$Y19="","",".")&amp;LEFT(樣品清單!$Z19,2)&amp;IF(樣品清單!$Z19="","",".")&amp;LEFT(樣品清單!$AA19,2)&amp;IF(樣品清單!$AA19="","",".")&amp;LEFT(樣品清單!$AB19,2)&amp;IF(樣品清單!$AB19="","",".")&amp;LEFT(樣品清單!$AC19,2)</f>
        <v/>
      </c>
      <c r="P36" s="410"/>
      <c r="Q36" s="410"/>
      <c r="R36" s="410"/>
      <c r="S36" s="410"/>
      <c r="T36" s="410"/>
      <c r="U36" s="410"/>
      <c r="V36" s="411"/>
      <c r="W36" s="349" t="s">
        <v>97</v>
      </c>
      <c r="X36" s="350"/>
      <c r="Y36" s="350"/>
      <c r="Z36" s="350"/>
      <c r="AA36" s="350"/>
      <c r="AB36" s="350"/>
      <c r="AC36" s="350"/>
      <c r="AD36" s="351"/>
      <c r="AE36" s="99" t="str">
        <f>WorkSheet!C36&amp;WorkSheet!G36</f>
        <v>--</v>
      </c>
      <c r="AF36" s="384" t="str">
        <f t="shared" si="3"/>
        <v>--</v>
      </c>
      <c r="AG36" s="384"/>
      <c r="AJ36" s="360" t="s">
        <v>398</v>
      </c>
      <c r="AK36" s="360"/>
      <c r="AL36" s="360"/>
      <c r="AM36" s="361"/>
      <c r="AN36" s="360"/>
      <c r="AO36" s="360"/>
      <c r="AP36" s="360"/>
      <c r="AQ36" s="360"/>
      <c r="AR36" s="360"/>
      <c r="AS36" s="361"/>
      <c r="AT36" s="360"/>
      <c r="AU36" s="361"/>
      <c r="AV36" s="360"/>
      <c r="AW36" s="361"/>
      <c r="AX36" s="360"/>
      <c r="AY36" s="360"/>
      <c r="AZ36" s="360"/>
      <c r="BA36" s="360"/>
      <c r="BB36" s="360"/>
    </row>
    <row r="37" spans="1:54" ht="15.75" x14ac:dyDescent="0.25">
      <c r="A37" s="59" t="s">
        <v>63</v>
      </c>
      <c r="B37" s="105">
        <v>22</v>
      </c>
      <c r="C37" s="373" t="str">
        <f>IF(樣品清單!B20="","--",樣品清單!B20)</f>
        <v>--</v>
      </c>
      <c r="D37" s="373"/>
      <c r="E37" s="373"/>
      <c r="F37" s="374"/>
      <c r="G37" s="371"/>
      <c r="H37" s="372"/>
      <c r="I37" s="357" t="s">
        <v>97</v>
      </c>
      <c r="J37" s="357"/>
      <c r="K37" s="357"/>
      <c r="L37" s="355" t="str">
        <f t="shared" si="2"/>
        <v>--</v>
      </c>
      <c r="M37" s="355"/>
      <c r="N37" s="355"/>
      <c r="O37" s="409" t="str">
        <f>LEFT(樣品清單!$F20,2)&amp;IF(樣品清單!$F20="","",".")&amp;LEFT(樣品清單!$G20,2)&amp;IF(樣品清單!$G20="","",".")&amp;LEFT(樣品清單!$H20,2)&amp;IF(樣品清單!$H20="","",".")&amp;LEFT(樣品清單!$I20,2)&amp;IF(樣品清單!$I20="","",".")&amp;LEFT(樣品清單!$J20,2)&amp;IF(樣品清單!$J20="","",".")&amp;LEFT(樣品清單!$K20,2)&amp;IF(樣品清單!$K20="","",".")&amp;LEFT(樣品清單!$L20,2)&amp;IF(樣品清單!$L20="","",".")&amp;LEFT(樣品清單!$M20,2)&amp;IF(樣品清單!$M20="","",".")&amp;LEFT(樣品清單!$N20,2)&amp;IF(樣品清單!$N20="","",".")&amp;LEFT(樣品清單!$O20,2)&amp;IF(樣品清單!$O20="","",".")&amp;LEFT(樣品清單!$P20,2)&amp;IF(樣品清單!$P20="","",".")&amp;LEFT(樣品清單!$Q20,2)&amp;IF(樣品清單!$Q20="","",".")&amp;LEFT(樣品清單!$R20,2)&amp;IF(樣品清單!$R20="","",".")&amp;LEFT(樣品清單!$S20,2)&amp;IF(樣品清單!$S20="","",".")&amp;LEFT(樣品清單!$T20,2)&amp;IF(樣品清單!$T20="","",".")&amp;LEFT(樣品清單!$U20,2)&amp;IF(樣品清單!$U20="","",".")&amp;LEFT(樣品清單!$V20,2)&amp;IF(樣品清單!$V20="","",".")&amp;LEFT(樣品清單!$W20,2)&amp;IF(樣品清單!$W20="","",".")&amp;LEFT(樣品清單!$X20,2)&amp;IF(樣品清單!$X20="","",".")&amp;LEFT(樣品清單!$Y20,2)&amp;IF(樣品清單!$Y20="","",".")&amp;LEFT(樣品清單!$Z20,2)&amp;IF(樣品清單!$Z20="","",".")&amp;LEFT(樣品清單!$AA20,2)&amp;IF(樣品清單!$AA20="","",".")&amp;LEFT(樣品清單!$AB20,2)&amp;IF(樣品清單!$AB20="","",".")&amp;LEFT(樣品清單!$AC20,2)</f>
        <v/>
      </c>
      <c r="P37" s="410"/>
      <c r="Q37" s="410"/>
      <c r="R37" s="410"/>
      <c r="S37" s="410"/>
      <c r="T37" s="410"/>
      <c r="U37" s="410"/>
      <c r="V37" s="411"/>
      <c r="W37" s="349" t="s">
        <v>97</v>
      </c>
      <c r="X37" s="350"/>
      <c r="Y37" s="350"/>
      <c r="Z37" s="350"/>
      <c r="AA37" s="350"/>
      <c r="AB37" s="350"/>
      <c r="AC37" s="350"/>
      <c r="AD37" s="351"/>
      <c r="AE37" s="99" t="str">
        <f>WorkSheet!C37&amp;WorkSheet!G37</f>
        <v>--</v>
      </c>
      <c r="AF37" s="384" t="str">
        <f t="shared" si="3"/>
        <v>--</v>
      </c>
      <c r="AG37" s="384"/>
      <c r="AJ37" s="360"/>
      <c r="AK37" s="360"/>
      <c r="AL37" s="360"/>
      <c r="AM37" s="361"/>
      <c r="AN37" s="360"/>
      <c r="AO37" s="360"/>
      <c r="AP37" s="360"/>
      <c r="AQ37" s="360"/>
      <c r="AR37" s="360"/>
      <c r="AS37" s="360"/>
      <c r="AT37" s="360"/>
      <c r="AU37" s="361"/>
      <c r="AV37" s="360"/>
      <c r="AW37" s="360"/>
      <c r="AX37" s="360"/>
      <c r="AY37" s="360"/>
      <c r="AZ37" s="360"/>
      <c r="BA37" s="360"/>
      <c r="BB37" s="360"/>
    </row>
    <row r="38" spans="1:54" ht="15.75" x14ac:dyDescent="0.25">
      <c r="A38" s="59" t="s">
        <v>64</v>
      </c>
      <c r="B38" s="105">
        <v>23</v>
      </c>
      <c r="C38" s="373" t="str">
        <f>IF(樣品清單!B21="","--",樣品清單!B21)</f>
        <v>--</v>
      </c>
      <c r="D38" s="373"/>
      <c r="E38" s="373"/>
      <c r="F38" s="374"/>
      <c r="G38" s="371"/>
      <c r="H38" s="372"/>
      <c r="I38" s="357" t="s">
        <v>97</v>
      </c>
      <c r="J38" s="357"/>
      <c r="K38" s="357"/>
      <c r="L38" s="355" t="str">
        <f t="shared" si="2"/>
        <v>--</v>
      </c>
      <c r="M38" s="355"/>
      <c r="N38" s="355"/>
      <c r="O38" s="409" t="str">
        <f>LEFT(樣品清單!$F21,2)&amp;IF(樣品清單!$F21="","",".")&amp;LEFT(樣品清單!$G21,2)&amp;IF(樣品清單!$G21="","",".")&amp;LEFT(樣品清單!$H21,2)&amp;IF(樣品清單!$H21="","",".")&amp;LEFT(樣品清單!$I21,2)&amp;IF(樣品清單!$I21="","",".")&amp;LEFT(樣品清單!$J21,2)&amp;IF(樣品清單!$J21="","",".")&amp;LEFT(樣品清單!$K21,2)&amp;IF(樣品清單!$K21="","",".")&amp;LEFT(樣品清單!$L21,2)&amp;IF(樣品清單!$L21="","",".")&amp;LEFT(樣品清單!$M21,2)&amp;IF(樣品清單!$M21="","",".")&amp;LEFT(樣品清單!$N21,2)&amp;IF(樣品清單!$N21="","",".")&amp;LEFT(樣品清單!$O21,2)&amp;IF(樣品清單!$O21="","",".")&amp;LEFT(樣品清單!$P21,2)&amp;IF(樣品清單!$P21="","",".")&amp;LEFT(樣品清單!$Q21,2)&amp;IF(樣品清單!$Q21="","",".")&amp;LEFT(樣品清單!$R21,2)&amp;IF(樣品清單!$R21="","",".")&amp;LEFT(樣品清單!$S21,2)&amp;IF(樣品清單!$S21="","",".")&amp;LEFT(樣品清單!$T21,2)&amp;IF(樣品清單!$T21="","",".")&amp;LEFT(樣品清單!$U21,2)&amp;IF(樣品清單!$U21="","",".")&amp;LEFT(樣品清單!$V21,2)&amp;IF(樣品清單!$V21="","",".")&amp;LEFT(樣品清單!$W21,2)&amp;IF(樣品清單!$W21="","",".")&amp;LEFT(樣品清單!$X21,2)&amp;IF(樣品清單!$X21="","",".")&amp;LEFT(樣品清單!$Y21,2)&amp;IF(樣品清單!$Y21="","",".")&amp;LEFT(樣品清單!$Z21,2)&amp;IF(樣品清單!$Z21="","",".")&amp;LEFT(樣品清單!$AA21,2)&amp;IF(樣品清單!$AA21="","",".")&amp;LEFT(樣品清單!$AB21,2)&amp;IF(樣品清單!$AB21="","",".")&amp;LEFT(樣品清單!$AC21,2)</f>
        <v/>
      </c>
      <c r="P38" s="410"/>
      <c r="Q38" s="410"/>
      <c r="R38" s="410"/>
      <c r="S38" s="410"/>
      <c r="T38" s="410"/>
      <c r="U38" s="410"/>
      <c r="V38" s="411"/>
      <c r="W38" s="349" t="s">
        <v>97</v>
      </c>
      <c r="X38" s="350"/>
      <c r="Y38" s="350"/>
      <c r="Z38" s="350"/>
      <c r="AA38" s="350"/>
      <c r="AB38" s="350"/>
      <c r="AC38" s="350"/>
      <c r="AD38" s="351"/>
      <c r="AE38" s="99" t="str">
        <f>WorkSheet!C38&amp;WorkSheet!G38</f>
        <v>--</v>
      </c>
      <c r="AF38" s="384" t="str">
        <f t="shared" si="3"/>
        <v>--</v>
      </c>
      <c r="AG38" s="384"/>
      <c r="AJ38" s="360"/>
      <c r="AK38" s="360"/>
      <c r="AL38" s="360"/>
      <c r="AM38" s="361"/>
      <c r="AN38" s="360"/>
      <c r="AO38" s="360"/>
      <c r="AP38" s="360"/>
      <c r="AQ38" s="360"/>
      <c r="AR38" s="360"/>
      <c r="AS38" s="360"/>
      <c r="AT38" s="360"/>
      <c r="AU38" s="361"/>
      <c r="AV38" s="360"/>
      <c r="AW38" s="360"/>
      <c r="AX38" s="360"/>
      <c r="AY38" s="360"/>
      <c r="AZ38" s="360"/>
      <c r="BA38" s="360"/>
      <c r="BB38" s="360"/>
    </row>
    <row r="39" spans="1:54" ht="16.5" thickBot="1" x14ac:dyDescent="0.3">
      <c r="A39" s="59" t="s">
        <v>65</v>
      </c>
      <c r="B39" s="103">
        <v>24</v>
      </c>
      <c r="C39" s="378" t="str">
        <f>IF(樣品清單!B22="","--",樣品清單!B22)</f>
        <v>--</v>
      </c>
      <c r="D39" s="378"/>
      <c r="E39" s="378"/>
      <c r="F39" s="379"/>
      <c r="G39" s="380"/>
      <c r="H39" s="381"/>
      <c r="I39" s="358" t="s">
        <v>97</v>
      </c>
      <c r="J39" s="358"/>
      <c r="K39" s="358"/>
      <c r="L39" s="356" t="str">
        <f t="shared" si="2"/>
        <v>--</v>
      </c>
      <c r="M39" s="356"/>
      <c r="N39" s="356"/>
      <c r="O39" s="412" t="str">
        <f>LEFT(樣品清單!$F22,2)&amp;IF(樣品清單!$F22="","",".")&amp;LEFT(樣品清單!$G22,2)&amp;IF(樣品清單!$G22="","",".")&amp;LEFT(樣品清單!$H22,2)&amp;IF(樣品清單!$H22="","",".")&amp;LEFT(樣品清單!$I22,2)&amp;IF(樣品清單!$I22="","",".")&amp;LEFT(樣品清單!$J22,2)&amp;IF(樣品清單!$J22="","",".")&amp;LEFT(樣品清單!$K22,2)&amp;IF(樣品清單!$K22="","",".")&amp;LEFT(樣品清單!$L22,2)&amp;IF(樣品清單!$L22="","",".")&amp;LEFT(樣品清單!$M22,2)&amp;IF(樣品清單!$M22="","",".")&amp;LEFT(樣品清單!$N22,2)&amp;IF(樣品清單!$N22="","",".")&amp;LEFT(樣品清單!$O22,2)&amp;IF(樣品清單!$O22="","",".")&amp;LEFT(樣品清單!$P22,2)&amp;IF(樣品清單!$P22="","",".")&amp;LEFT(樣品清單!$Q22,2)&amp;IF(樣品清單!$Q22="","",".")&amp;LEFT(樣品清單!$R22,2)&amp;IF(樣品清單!$R22="","",".")&amp;LEFT(樣品清單!$S22,2)&amp;IF(樣品清單!$S22="","",".")&amp;LEFT(樣品清單!$T22,2)&amp;IF(樣品清單!$T22="","",".")&amp;LEFT(樣品清單!$U22,2)&amp;IF(樣品清單!$U22="","",".")&amp;LEFT(樣品清單!$V22,2)&amp;IF(樣品清單!$V22="","",".")&amp;LEFT(樣品清單!$W22,2)&amp;IF(樣品清單!$W22="","",".")&amp;LEFT(樣品清單!$X22,2)&amp;IF(樣品清單!$X22="","",".")&amp;LEFT(樣品清單!$Y22,2)&amp;IF(樣品清單!$Y22="","",".")&amp;LEFT(樣品清單!$Z22,2)&amp;IF(樣品清單!$Z22="","",".")&amp;LEFT(樣品清單!$AA22,2)&amp;IF(樣品清單!$AA22="","",".")&amp;LEFT(樣品清單!$AB22,2)&amp;IF(樣品清單!$AB22="","",".")&amp;LEFT(樣品清單!$AC22,2)</f>
        <v/>
      </c>
      <c r="P39" s="413"/>
      <c r="Q39" s="413"/>
      <c r="R39" s="413"/>
      <c r="S39" s="413"/>
      <c r="T39" s="413"/>
      <c r="U39" s="413"/>
      <c r="V39" s="414"/>
      <c r="W39" s="352" t="s">
        <v>97</v>
      </c>
      <c r="X39" s="353"/>
      <c r="Y39" s="353"/>
      <c r="Z39" s="353"/>
      <c r="AA39" s="353"/>
      <c r="AB39" s="353"/>
      <c r="AC39" s="353"/>
      <c r="AD39" s="354"/>
      <c r="AE39" s="99" t="str">
        <f>WorkSheet!C39&amp;WorkSheet!G39</f>
        <v>--</v>
      </c>
      <c r="AF39" s="384" t="str">
        <f t="shared" si="3"/>
        <v>--</v>
      </c>
      <c r="AG39" s="384"/>
    </row>
    <row r="40" spans="1:54" ht="15.75" x14ac:dyDescent="0.25">
      <c r="B40" s="108" t="s">
        <v>231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</row>
    <row r="41" spans="1:54" ht="17.25" thickBot="1" x14ac:dyDescent="0.3">
      <c r="A41" s="277" t="s">
        <v>396</v>
      </c>
      <c r="B41" s="66" t="str">
        <f>IF(COUNTIF($A$42,"MW*"),$AI$2,$AH$2)</f>
        <v>■</v>
      </c>
      <c r="C41" s="375" t="s">
        <v>33</v>
      </c>
      <c r="D41" s="375"/>
      <c r="E41" s="375"/>
      <c r="F41" s="375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</row>
    <row r="42" spans="1:54" ht="16.5" x14ac:dyDescent="0.25">
      <c r="A42" s="48" t="str">
        <f>INDEX(消化參數,MATCH($E$3,Method,0))</f>
        <v>MW1</v>
      </c>
      <c r="B42" s="33"/>
      <c r="C42" s="390" t="s">
        <v>232</v>
      </c>
      <c r="D42" s="391"/>
      <c r="E42" s="385" t="s">
        <v>233</v>
      </c>
      <c r="F42" s="385"/>
      <c r="G42" s="386"/>
      <c r="H42" s="393" t="s">
        <v>234</v>
      </c>
      <c r="I42" s="385"/>
      <c r="J42" s="386"/>
      <c r="K42" s="393" t="s">
        <v>235</v>
      </c>
      <c r="L42" s="385"/>
      <c r="M42" s="385"/>
      <c r="N42" s="393" t="s">
        <v>236</v>
      </c>
      <c r="O42" s="385"/>
      <c r="P42" s="377"/>
      <c r="Q42" s="33"/>
      <c r="R42" s="33"/>
      <c r="S42" s="33"/>
      <c r="T42" s="33"/>
      <c r="U42" s="406" t="s">
        <v>34</v>
      </c>
      <c r="V42" s="406"/>
      <c r="W42" s="406"/>
      <c r="X42" s="109"/>
      <c r="Y42" s="109"/>
      <c r="Z42" s="109"/>
      <c r="AA42" s="109"/>
      <c r="AB42" s="109"/>
      <c r="AC42" s="33"/>
      <c r="AD42" s="33"/>
    </row>
    <row r="43" spans="1:54" ht="17.25" thickBot="1" x14ac:dyDescent="0.3">
      <c r="B43" s="33"/>
      <c r="C43" s="388" t="s">
        <v>237</v>
      </c>
      <c r="D43" s="389"/>
      <c r="E43" s="339" t="s">
        <v>3</v>
      </c>
      <c r="F43" s="339"/>
      <c r="G43" s="394"/>
      <c r="H43" s="338" t="s">
        <v>4</v>
      </c>
      <c r="I43" s="339"/>
      <c r="J43" s="394"/>
      <c r="K43" s="338" t="s">
        <v>238</v>
      </c>
      <c r="L43" s="339"/>
      <c r="M43" s="339"/>
      <c r="N43" s="338" t="s">
        <v>4</v>
      </c>
      <c r="O43" s="339"/>
      <c r="P43" s="340"/>
      <c r="Q43" s="33"/>
      <c r="R43" s="33"/>
      <c r="S43" s="33"/>
      <c r="T43" s="33"/>
      <c r="U43" s="110" t="str">
        <f>IF(樣品清單!F$23=0,"□","■")</f>
        <v>□</v>
      </c>
      <c r="V43" s="104" t="str">
        <f>LEFT(樣品清單!F$1,2)</f>
        <v>Be</v>
      </c>
      <c r="W43" s="110" t="str">
        <f>IF(樣品清單!L$23=0,"□","■")</f>
        <v>□</v>
      </c>
      <c r="X43" s="104" t="str">
        <f>LEFT(樣品清單!L$1,2)</f>
        <v>Cu</v>
      </c>
      <c r="Y43" s="110" t="str">
        <f>IF(樣品清單!R$23=0,"□","■")</f>
        <v>□</v>
      </c>
      <c r="Z43" s="33" t="str">
        <f>LEFT(樣品清單!R$1,2)</f>
        <v>Zr</v>
      </c>
      <c r="AA43" s="110" t="str">
        <f>IF(樣品清單!X$23=0,"□","■")</f>
        <v>□</v>
      </c>
      <c r="AB43" s="33" t="str">
        <f>LEFT(樣品清單!X$1,2)</f>
        <v>Ba</v>
      </c>
      <c r="AC43" s="33"/>
      <c r="AD43" s="33"/>
    </row>
    <row r="44" spans="1:54" ht="16.5" x14ac:dyDescent="0.25">
      <c r="B44" s="33"/>
      <c r="C44" s="395">
        <v>1</v>
      </c>
      <c r="D44" s="396"/>
      <c r="E44" s="403">
        <f>IF($B$41=AI2,INDEX(W1_,MATCH($A$42,Digestion,0)),"--")</f>
        <v>1800</v>
      </c>
      <c r="F44" s="403"/>
      <c r="G44" s="404"/>
      <c r="H44" s="344">
        <f>IF($B$41=AI2,INDEX(RT1_,MATCH($A$42,Digestion,0)),"--")</f>
        <v>40</v>
      </c>
      <c r="I44" s="345"/>
      <c r="J44" s="405"/>
      <c r="K44" s="344">
        <f>IF($B$41=AI2,INDEX(T1_,MATCH($A$42,Digestion,0)),"--")</f>
        <v>180</v>
      </c>
      <c r="L44" s="345"/>
      <c r="M44" s="345"/>
      <c r="N44" s="341" t="str">
        <f>IF($B$41=AI2,INDEX(HT1_,MATCH($A$42,Digestion,0)),"--")</f>
        <v>--</v>
      </c>
      <c r="O44" s="342"/>
      <c r="P44" s="343"/>
      <c r="Q44" s="33"/>
      <c r="R44" s="33"/>
      <c r="S44" s="33"/>
      <c r="T44" s="33"/>
      <c r="U44" s="110" t="str">
        <f>IF(樣品清單!G$23=0,"□","■")</f>
        <v>□</v>
      </c>
      <c r="V44" s="104" t="str">
        <f>LEFT(樣品清單!G$1,2)</f>
        <v xml:space="preserve">V </v>
      </c>
      <c r="W44" s="110" t="str">
        <f>IF(樣品清單!M$23=0,"□","■")</f>
        <v>□</v>
      </c>
      <c r="X44" s="104" t="str">
        <f>LEFT(樣品清單!M$1,2)</f>
        <v>Zn</v>
      </c>
      <c r="Y44" s="110" t="str">
        <f>IF(樣品清單!S$23=0,"□","■")</f>
        <v>□</v>
      </c>
      <c r="Z44" s="33" t="str">
        <f>LEFT(樣品清單!S$1,2)</f>
        <v>Mo</v>
      </c>
      <c r="AA44" s="110" t="str">
        <f>IF(樣品清單!Y$23=0,"□","■")</f>
        <v>□</v>
      </c>
      <c r="AB44" s="290" t="str">
        <f>LEFT(樣品清單!Y$1,2)</f>
        <v>Nd</v>
      </c>
      <c r="AC44" s="33"/>
      <c r="AD44" s="33"/>
    </row>
    <row r="45" spans="1:54" ht="17.25" thickBot="1" x14ac:dyDescent="0.3">
      <c r="B45" s="33"/>
      <c r="C45" s="387">
        <v>2</v>
      </c>
      <c r="D45" s="340"/>
      <c r="E45" s="397">
        <f>IF($B$41=AI2,INDEX(W2_,MATCH($A$42,Digestion,0)),"--")</f>
        <v>1800</v>
      </c>
      <c r="F45" s="397"/>
      <c r="G45" s="398"/>
      <c r="H45" s="399" t="str">
        <f>IF($B$41=AI2,INDEX(RT2_,MATCH($A$42,Digestion,0)),"--")</f>
        <v>--</v>
      </c>
      <c r="I45" s="400"/>
      <c r="J45" s="401"/>
      <c r="K45" s="346">
        <f>IF($B$41=AI2,INDEX(T2_,MATCH($A$42,Digestion,0)),"--")</f>
        <v>180</v>
      </c>
      <c r="L45" s="347"/>
      <c r="M45" s="347"/>
      <c r="N45" s="346">
        <f>IF($B$41=AI2,INDEX(HT2_,MATCH($A$42,Digestion,0)),"--")</f>
        <v>20</v>
      </c>
      <c r="O45" s="347"/>
      <c r="P45" s="348"/>
      <c r="Q45" s="33"/>
      <c r="R45" s="33"/>
      <c r="S45" s="33"/>
      <c r="T45" s="33"/>
      <c r="U45" s="110" t="str">
        <f>IF(樣品清單!H$23=0,"□","■")</f>
        <v>□</v>
      </c>
      <c r="V45" s="104" t="str">
        <f>LEFT(樣品清單!H$1,2)</f>
        <v>Cr</v>
      </c>
      <c r="W45" s="110" t="str">
        <f>IF(樣品清單!N$23=0,"□","■")</f>
        <v>□</v>
      </c>
      <c r="X45" s="104" t="str">
        <f>LEFT(樣品清單!N$1,2)</f>
        <v>Ge</v>
      </c>
      <c r="Y45" s="110" t="str">
        <f>IF(樣品清單!T$23=0,"□","■")</f>
        <v>□</v>
      </c>
      <c r="Z45" s="33" t="str">
        <f>LEFT(樣品清單!T$1,2)</f>
        <v>Cd</v>
      </c>
      <c r="AA45" s="110" t="str">
        <f>IF(樣品清單!Z$23=0,"□","■")</f>
        <v>□</v>
      </c>
      <c r="AB45" s="290" t="str">
        <f>LEFT(樣品清單!Z$1,2)</f>
        <v>Hg</v>
      </c>
      <c r="AC45" s="33"/>
      <c r="AD45" s="33"/>
    </row>
    <row r="46" spans="1:54" ht="17.25" thickBot="1" x14ac:dyDescent="0.3">
      <c r="B46" s="66" t="str">
        <f>IF(COUNTIF($A$42,"ASH*"),$AI$2,$AH$2)</f>
        <v>□</v>
      </c>
      <c r="C46" s="402" t="s">
        <v>18</v>
      </c>
      <c r="D46" s="402"/>
      <c r="E46" s="402"/>
      <c r="F46" s="402"/>
      <c r="G46" s="33"/>
      <c r="H46" s="33"/>
      <c r="I46" s="33"/>
      <c r="J46" s="33"/>
      <c r="K46" s="66" t="str">
        <f>IF(COUNTIF($A$42,"HP*"),$AI$2,$AH$2)</f>
        <v>□</v>
      </c>
      <c r="L46" s="375" t="s">
        <v>32</v>
      </c>
      <c r="M46" s="392"/>
      <c r="N46" s="392"/>
      <c r="O46" s="392"/>
      <c r="P46" s="33"/>
      <c r="Q46" s="33"/>
      <c r="R46" s="33"/>
      <c r="S46" s="33"/>
      <c r="T46" s="33"/>
      <c r="U46" s="110" t="str">
        <f>IF(樣品清單!I$23=0,"□","■")</f>
        <v>□</v>
      </c>
      <c r="V46" s="104" t="str">
        <f>LEFT(樣品清單!I$1,2)</f>
        <v>Mn</v>
      </c>
      <c r="W46" s="110" t="str">
        <f>IF(樣品清單!O$23=0,"□","■")</f>
        <v>□</v>
      </c>
      <c r="X46" s="104" t="str">
        <f>LEFT(樣品清單!O$1,2)</f>
        <v>As</v>
      </c>
      <c r="Y46" s="110" t="str">
        <f>IF(樣品清單!U$23=0,"□","■")</f>
        <v>□</v>
      </c>
      <c r="Z46" s="33" t="str">
        <f>LEFT(樣品清單!U$1,2)</f>
        <v>Sn</v>
      </c>
      <c r="AA46" s="110" t="str">
        <f>IF(樣品清單!AA$23=0,"□","■")</f>
        <v>□</v>
      </c>
      <c r="AB46" s="109" t="str">
        <f>LEFT(樣品清單!AA$1,2)</f>
        <v>Tl</v>
      </c>
      <c r="AC46" s="33"/>
      <c r="AD46" s="33"/>
    </row>
    <row r="47" spans="1:54" ht="16.5" x14ac:dyDescent="0.25">
      <c r="B47" s="33"/>
      <c r="C47" s="390" t="s">
        <v>232</v>
      </c>
      <c r="D47" s="391"/>
      <c r="E47" s="376" t="s">
        <v>239</v>
      </c>
      <c r="F47" s="385"/>
      <c r="G47" s="386"/>
      <c r="H47" s="393" t="s">
        <v>240</v>
      </c>
      <c r="I47" s="385"/>
      <c r="J47" s="377"/>
      <c r="K47" s="33"/>
      <c r="L47" s="390" t="s">
        <v>232</v>
      </c>
      <c r="M47" s="391"/>
      <c r="N47" s="376" t="s">
        <v>239</v>
      </c>
      <c r="O47" s="385"/>
      <c r="P47" s="386"/>
      <c r="Q47" s="393" t="s">
        <v>240</v>
      </c>
      <c r="R47" s="385"/>
      <c r="S47" s="377"/>
      <c r="T47" s="33"/>
      <c r="U47" s="110" t="str">
        <f>IF(樣品清單!J$23=0,"□","■")</f>
        <v>□</v>
      </c>
      <c r="V47" s="104" t="str">
        <f>LEFT(樣品清單!J$1,2)</f>
        <v>Co</v>
      </c>
      <c r="W47" s="110" t="str">
        <f>IF(樣品清單!P$23=0,"□","■")</f>
        <v>□</v>
      </c>
      <c r="X47" s="104" t="str">
        <f>LEFT(樣品清單!P$1,2)</f>
        <v>Se</v>
      </c>
      <c r="Y47" s="110" t="str">
        <f>IF(樣品清單!V$23=0,"□","■")</f>
        <v>□</v>
      </c>
      <c r="Z47" s="33" t="str">
        <f>LEFT(樣品清單!V$1,2)</f>
        <v>Sb</v>
      </c>
      <c r="AA47" s="110" t="str">
        <f>IF(樣品清單!AB$23=0,"□","■")</f>
        <v>□</v>
      </c>
      <c r="AB47" s="109" t="str">
        <f>LEFT(樣品清單!AB$1,2)</f>
        <v>Pb</v>
      </c>
      <c r="AC47" s="33"/>
      <c r="AD47" s="33"/>
    </row>
    <row r="48" spans="1:54" ht="17.25" thickBot="1" x14ac:dyDescent="0.3">
      <c r="B48" s="33"/>
      <c r="C48" s="388" t="s">
        <v>241</v>
      </c>
      <c r="D48" s="389"/>
      <c r="E48" s="387" t="s">
        <v>242</v>
      </c>
      <c r="F48" s="339"/>
      <c r="G48" s="394"/>
      <c r="H48" s="338" t="s">
        <v>4</v>
      </c>
      <c r="I48" s="339"/>
      <c r="J48" s="340"/>
      <c r="K48" s="33"/>
      <c r="L48" s="388" t="s">
        <v>241</v>
      </c>
      <c r="M48" s="389"/>
      <c r="N48" s="387" t="s">
        <v>242</v>
      </c>
      <c r="O48" s="339"/>
      <c r="P48" s="394"/>
      <c r="Q48" s="338" t="s">
        <v>4</v>
      </c>
      <c r="R48" s="339"/>
      <c r="S48" s="340"/>
      <c r="T48" s="33"/>
      <c r="U48" s="110" t="str">
        <f>IF(樣品清單!K$23=0,"□","■")</f>
        <v>□</v>
      </c>
      <c r="V48" s="104" t="str">
        <f>LEFT(樣品清單!K$1,2)</f>
        <v>Ni</v>
      </c>
      <c r="W48" s="110" t="str">
        <f>IF(樣品清單!Q$23=0,"□","■")</f>
        <v>□</v>
      </c>
      <c r="X48" s="104" t="str">
        <f>LEFT(樣品清單!Q$1,2)</f>
        <v>Sr</v>
      </c>
      <c r="Y48" s="110" t="str">
        <f>IF(樣品清單!W$23=0,"□","■")</f>
        <v>□</v>
      </c>
      <c r="Z48" s="33" t="str">
        <f>LEFT(樣品清單!W$1,2)</f>
        <v>Te</v>
      </c>
      <c r="AA48" s="110" t="str">
        <f>IF(樣品清單!AC$23=0,"□","■")</f>
        <v>□</v>
      </c>
      <c r="AB48" s="109" t="str">
        <f>LEFT(樣品清單!AC$1,2)</f>
        <v>Bi</v>
      </c>
      <c r="AC48" s="33"/>
      <c r="AD48" s="33"/>
    </row>
    <row r="49" spans="2:30" ht="15.75" x14ac:dyDescent="0.25">
      <c r="B49" s="33"/>
      <c r="C49" s="376">
        <v>1</v>
      </c>
      <c r="D49" s="377"/>
      <c r="E49" s="344" t="str">
        <f>IF($B$46=AI2,INDEX(T1_,MATCH($A$42,Digestion,0)),"--")</f>
        <v>--</v>
      </c>
      <c r="F49" s="345"/>
      <c r="G49" s="345"/>
      <c r="H49" s="341" t="str">
        <f>IF($B$46=AI2,INDEX(HT1_,MATCH($A$42,Digestion,0)),"--")</f>
        <v>--</v>
      </c>
      <c r="I49" s="342"/>
      <c r="J49" s="343"/>
      <c r="K49" s="33"/>
      <c r="L49" s="376">
        <v>1</v>
      </c>
      <c r="M49" s="377"/>
      <c r="N49" s="344" t="str">
        <f>IF($K$46=AI2,INDEX(T1_,MATCH($A$42,Digestion,0)),"--")</f>
        <v>--</v>
      </c>
      <c r="O49" s="345"/>
      <c r="P49" s="345"/>
      <c r="Q49" s="341" t="str">
        <f>IF($K$46=AI2,INDEX(HT1_,MATCH($A$42,Digestion,0)),"--")</f>
        <v>--</v>
      </c>
      <c r="R49" s="342"/>
      <c r="S49" s="34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2:30" ht="16.5" thickBot="1" x14ac:dyDescent="0.3">
      <c r="B50" s="33"/>
      <c r="C50" s="387">
        <v>2</v>
      </c>
      <c r="D50" s="340"/>
      <c r="E50" s="346" t="str">
        <f>IF($B$46=AI2,INDEX(T2_,MATCH($A$42,Digestion,0)),"--")</f>
        <v>--</v>
      </c>
      <c r="F50" s="347"/>
      <c r="G50" s="347"/>
      <c r="H50" s="346" t="str">
        <f>IF($B$46=AI2,INDEX(HT2_,MATCH($A$42,Digestion,0)),"--")</f>
        <v>--</v>
      </c>
      <c r="I50" s="347"/>
      <c r="J50" s="348"/>
      <c r="K50" s="33"/>
      <c r="L50" s="387">
        <v>2</v>
      </c>
      <c r="M50" s="340"/>
      <c r="N50" s="346" t="str">
        <f>IF($K$46=AI2,INDEX(T2_,MATCH($A$42,Digestion,0)),"--")</f>
        <v>--</v>
      </c>
      <c r="O50" s="347"/>
      <c r="P50" s="347"/>
      <c r="Q50" s="346" t="str">
        <f>IF($K$46=AI2,INDEX(HT2_,MATCH($A$42,Digestion,0)),"--")</f>
        <v>--</v>
      </c>
      <c r="R50" s="347"/>
      <c r="S50" s="348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</row>
    <row r="51" spans="2:30" ht="15.75" x14ac:dyDescent="0.25">
      <c r="Y51" s="33"/>
      <c r="Z51" s="33"/>
    </row>
    <row r="52" spans="2:30" ht="16.5" x14ac:dyDescent="0.25">
      <c r="D52" s="90" t="s">
        <v>75</v>
      </c>
      <c r="E52" s="33"/>
      <c r="F52" s="33"/>
      <c r="G52" s="36"/>
      <c r="H52" s="36"/>
      <c r="I52" s="36"/>
      <c r="J52" s="325" t="str">
        <f ca="1">IF(N56="--",IF(I58="","",IF(J52="",TEXT(NOW(),"YYYY/mm/dd hh:mm"),J52)),N56)</f>
        <v/>
      </c>
      <c r="K52" s="325"/>
      <c r="L52" s="325"/>
      <c r="M52" s="325"/>
      <c r="N52" s="325"/>
      <c r="O52" s="325"/>
      <c r="P52" s="33"/>
      <c r="Q52" s="90" t="s">
        <v>19</v>
      </c>
      <c r="R52" s="33"/>
      <c r="S52" s="33"/>
      <c r="T52" s="36"/>
      <c r="U52" s="36"/>
      <c r="V52" s="36"/>
      <c r="W52" s="36"/>
      <c r="X52" s="36"/>
      <c r="Y52" s="36"/>
    </row>
    <row r="54" spans="2:30" ht="15.75" x14ac:dyDescent="0.25">
      <c r="I54" s="171" t="s">
        <v>293</v>
      </c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 t="s">
        <v>294</v>
      </c>
      <c r="U54" s="171"/>
      <c r="V54" s="171"/>
      <c r="W54" s="171"/>
      <c r="X54" s="171"/>
      <c r="Y54" s="172"/>
      <c r="Z54" s="172"/>
      <c r="AA54" s="172"/>
      <c r="AB54" s="172"/>
      <c r="AC54" s="172"/>
      <c r="AD54" s="172"/>
    </row>
    <row r="55" spans="2:30" ht="15.75" x14ac:dyDescent="0.25">
      <c r="H55" s="48"/>
      <c r="I55" s="173" t="s">
        <v>286</v>
      </c>
      <c r="J55" s="173" t="s">
        <v>287</v>
      </c>
      <c r="K55" s="173" t="s">
        <v>288</v>
      </c>
      <c r="L55" s="173" t="s">
        <v>289</v>
      </c>
      <c r="M55" s="173" t="s">
        <v>290</v>
      </c>
      <c r="N55" s="174"/>
      <c r="O55" s="174"/>
      <c r="P55" s="174"/>
      <c r="Q55" s="171"/>
      <c r="R55" s="171"/>
      <c r="S55" s="171"/>
      <c r="T55" s="173" t="s">
        <v>286</v>
      </c>
      <c r="U55" s="173" t="s">
        <v>287</v>
      </c>
      <c r="V55" s="173" t="s">
        <v>288</v>
      </c>
      <c r="W55" s="173" t="s">
        <v>289</v>
      </c>
      <c r="X55" s="173" t="s">
        <v>290</v>
      </c>
      <c r="Y55" s="174"/>
      <c r="Z55" s="174"/>
      <c r="AA55" s="174"/>
      <c r="AB55" s="172"/>
      <c r="AC55" s="172"/>
      <c r="AD55" s="172"/>
    </row>
    <row r="56" spans="2:30" ht="15.75" x14ac:dyDescent="0.25">
      <c r="I56" s="175"/>
      <c r="J56" s="175"/>
      <c r="K56" s="175"/>
      <c r="L56" s="175"/>
      <c r="M56" s="175"/>
      <c r="N56" s="326" t="str">
        <f>IF(OR(I56="",J56="",K56="",L56="",M56=""),"--",I56&amp;"/"&amp;J56&amp;"/"&amp;K56&amp;" "&amp;L56&amp;":"&amp;M56)</f>
        <v>--</v>
      </c>
      <c r="O56" s="327"/>
      <c r="P56" s="327"/>
      <c r="Q56" s="327"/>
      <c r="R56" s="327"/>
      <c r="S56" s="327"/>
      <c r="T56" s="175"/>
      <c r="U56" s="175"/>
      <c r="V56" s="175"/>
      <c r="W56" s="175"/>
      <c r="X56" s="175"/>
      <c r="Y56" s="326" t="str">
        <f>IF(OR(T56="",U56="",V56="",W56="",X56=""),"--",T56&amp;"/"&amp;U56&amp;"/"&amp;V56&amp;" "&amp;W56&amp;":"&amp;X56)</f>
        <v>--</v>
      </c>
      <c r="Z56" s="327"/>
      <c r="AA56" s="327"/>
      <c r="AB56" s="327"/>
      <c r="AC56" s="327"/>
      <c r="AD56" s="327"/>
    </row>
    <row r="57" spans="2:30" ht="15.75" customHeight="1" x14ac:dyDescent="0.25">
      <c r="I57" s="328" t="s">
        <v>291</v>
      </c>
      <c r="J57" s="329"/>
      <c r="K57" s="329"/>
      <c r="L57" s="330"/>
      <c r="M57" s="172"/>
      <c r="N57" s="172"/>
      <c r="O57" s="172"/>
      <c r="P57" s="172"/>
      <c r="Q57" s="172"/>
      <c r="R57" s="172"/>
      <c r="S57" s="172"/>
      <c r="T57" s="334" t="s">
        <v>292</v>
      </c>
      <c r="U57" s="334"/>
      <c r="V57" s="334"/>
      <c r="W57" s="334"/>
      <c r="X57" s="172"/>
      <c r="Y57" s="172"/>
      <c r="Z57" s="172"/>
      <c r="AA57" s="172"/>
      <c r="AB57" s="172"/>
      <c r="AC57" s="172"/>
      <c r="AD57" s="172"/>
    </row>
    <row r="58" spans="2:30" x14ac:dyDescent="0.25">
      <c r="I58" s="331"/>
      <c r="J58" s="332"/>
      <c r="K58" s="332"/>
      <c r="L58" s="333"/>
      <c r="M58" s="172"/>
      <c r="N58" s="172"/>
      <c r="O58" s="172"/>
      <c r="P58" s="172"/>
      <c r="Q58" s="172"/>
      <c r="R58" s="172"/>
      <c r="S58" s="172"/>
      <c r="T58" s="335"/>
      <c r="U58" s="335"/>
      <c r="V58" s="335"/>
      <c r="W58" s="335"/>
      <c r="X58" s="172"/>
      <c r="Y58" s="172"/>
      <c r="Z58" s="172"/>
      <c r="AA58" s="172"/>
      <c r="AB58" s="172"/>
      <c r="AC58" s="172"/>
      <c r="AD58" s="172"/>
    </row>
  </sheetData>
  <sheetProtection sheet="1" objects="1" scenarios="1"/>
  <dataConsolidate/>
  <mergeCells count="388">
    <mergeCell ref="BA37:BB37"/>
    <mergeCell ref="BA38:BB38"/>
    <mergeCell ref="BA28:BB28"/>
    <mergeCell ref="BA29:BB29"/>
    <mergeCell ref="BA30:BB30"/>
    <mergeCell ref="BA31:BB31"/>
    <mergeCell ref="BA32:BB32"/>
    <mergeCell ref="BA33:BB33"/>
    <mergeCell ref="BA34:BB34"/>
    <mergeCell ref="BA35:BB35"/>
    <mergeCell ref="BA36:BB36"/>
    <mergeCell ref="AU38:AV38"/>
    <mergeCell ref="AY38:AZ38"/>
    <mergeCell ref="AW38:AX38"/>
    <mergeCell ref="AY29:AZ29"/>
    <mergeCell ref="AY30:AZ30"/>
    <mergeCell ref="AY31:AZ31"/>
    <mergeCell ref="AY32:AZ32"/>
    <mergeCell ref="AS28:AT28"/>
    <mergeCell ref="AS29:AT29"/>
    <mergeCell ref="AS30:AT30"/>
    <mergeCell ref="AS31:AT31"/>
    <mergeCell ref="AS32:AT32"/>
    <mergeCell ref="AS33:AT33"/>
    <mergeCell ref="AS34:AT34"/>
    <mergeCell ref="AS35:AT35"/>
    <mergeCell ref="AS36:AT36"/>
    <mergeCell ref="AS37:AT37"/>
    <mergeCell ref="AS38:AT38"/>
    <mergeCell ref="AY28:AZ28"/>
    <mergeCell ref="AW31:AX31"/>
    <mergeCell ref="AM37:AN37"/>
    <mergeCell ref="AQ37:AR37"/>
    <mergeCell ref="AO37:AP37"/>
    <mergeCell ref="AU37:AV37"/>
    <mergeCell ref="AY37:AZ37"/>
    <mergeCell ref="AW37:AX37"/>
    <mergeCell ref="AJ28:AL28"/>
    <mergeCell ref="AJ29:AL29"/>
    <mergeCell ref="AJ30:AL30"/>
    <mergeCell ref="AJ31:AL31"/>
    <mergeCell ref="AJ32:AL32"/>
    <mergeCell ref="AJ33:AL33"/>
    <mergeCell ref="AJ34:AL34"/>
    <mergeCell ref="AJ35:AL35"/>
    <mergeCell ref="AJ36:AL36"/>
    <mergeCell ref="AJ37:AL37"/>
    <mergeCell ref="AM35:AN35"/>
    <mergeCell ref="AQ35:AR35"/>
    <mergeCell ref="AO35:AP35"/>
    <mergeCell ref="AU35:AV35"/>
    <mergeCell ref="AY35:AZ35"/>
    <mergeCell ref="AW35:AX35"/>
    <mergeCell ref="AM36:AN36"/>
    <mergeCell ref="AQ36:AR36"/>
    <mergeCell ref="AO36:AP36"/>
    <mergeCell ref="AU36:AV36"/>
    <mergeCell ref="AY36:AZ36"/>
    <mergeCell ref="AW36:AX36"/>
    <mergeCell ref="AM33:AN33"/>
    <mergeCell ref="AQ33:AR33"/>
    <mergeCell ref="AO33:AP33"/>
    <mergeCell ref="AU33:AV33"/>
    <mergeCell ref="AY33:AZ33"/>
    <mergeCell ref="AW33:AX33"/>
    <mergeCell ref="AM34:AN34"/>
    <mergeCell ref="AQ34:AR34"/>
    <mergeCell ref="AO34:AP34"/>
    <mergeCell ref="AU34:AV34"/>
    <mergeCell ref="AY34:AZ34"/>
    <mergeCell ref="AW34:AX34"/>
    <mergeCell ref="AM32:AN32"/>
    <mergeCell ref="AO32:AP32"/>
    <mergeCell ref="AQ32:AR32"/>
    <mergeCell ref="AU32:AV32"/>
    <mergeCell ref="AW32:AX32"/>
    <mergeCell ref="AM28:AN28"/>
    <mergeCell ref="AO28:AP28"/>
    <mergeCell ref="AQ28:AR28"/>
    <mergeCell ref="AU28:AV28"/>
    <mergeCell ref="AW28:AX28"/>
    <mergeCell ref="AM29:AN29"/>
    <mergeCell ref="AO29:AP29"/>
    <mergeCell ref="AQ29:AR29"/>
    <mergeCell ref="AU29:AV29"/>
    <mergeCell ref="AW29:AX29"/>
    <mergeCell ref="AM30:AN30"/>
    <mergeCell ref="AO30:AP30"/>
    <mergeCell ref="AQ30:AR30"/>
    <mergeCell ref="AU30:AV30"/>
    <mergeCell ref="AW30:AX30"/>
    <mergeCell ref="AM31:AN31"/>
    <mergeCell ref="AO31:AP31"/>
    <mergeCell ref="AQ31:AR31"/>
    <mergeCell ref="AU31:AV31"/>
    <mergeCell ref="O14:V15"/>
    <mergeCell ref="W14:AD15"/>
    <mergeCell ref="AF16:AG16"/>
    <mergeCell ref="AF17:AG17"/>
    <mergeCell ref="AF18:AG18"/>
    <mergeCell ref="AF19:AG19"/>
    <mergeCell ref="AF20:AG20"/>
    <mergeCell ref="AF21:AG21"/>
    <mergeCell ref="AF15:AG15"/>
    <mergeCell ref="L20:N20"/>
    <mergeCell ref="L19:N19"/>
    <mergeCell ref="L18:N18"/>
    <mergeCell ref="C14:H15"/>
    <mergeCell ref="I24:K24"/>
    <mergeCell ref="I25:K25"/>
    <mergeCell ref="I26:K26"/>
    <mergeCell ref="C21:F21"/>
    <mergeCell ref="G21:H21"/>
    <mergeCell ref="L17:N17"/>
    <mergeCell ref="L16:N16"/>
    <mergeCell ref="L14:N15"/>
    <mergeCell ref="I22:K22"/>
    <mergeCell ref="I23:K23"/>
    <mergeCell ref="C32:F32"/>
    <mergeCell ref="G32:H32"/>
    <mergeCell ref="C33:F33"/>
    <mergeCell ref="G33:H33"/>
    <mergeCell ref="C34:F34"/>
    <mergeCell ref="G34:H34"/>
    <mergeCell ref="C35:F35"/>
    <mergeCell ref="G35:H35"/>
    <mergeCell ref="C36:F36"/>
    <mergeCell ref="G36:H36"/>
    <mergeCell ref="G30:H30"/>
    <mergeCell ref="C31:F31"/>
    <mergeCell ref="G31:H31"/>
    <mergeCell ref="C22:F22"/>
    <mergeCell ref="G22:H22"/>
    <mergeCell ref="C23:F23"/>
    <mergeCell ref="G23:H23"/>
    <mergeCell ref="C24:F24"/>
    <mergeCell ref="G24:H24"/>
    <mergeCell ref="C25:F25"/>
    <mergeCell ref="G25:H25"/>
    <mergeCell ref="C26:F26"/>
    <mergeCell ref="G26:H26"/>
    <mergeCell ref="C27:F27"/>
    <mergeCell ref="G27:H27"/>
    <mergeCell ref="C28:F28"/>
    <mergeCell ref="G28:H28"/>
    <mergeCell ref="C29:F29"/>
    <mergeCell ref="G29:H29"/>
    <mergeCell ref="C30:F30"/>
    <mergeCell ref="L30:N30"/>
    <mergeCell ref="L31:N31"/>
    <mergeCell ref="L32:N32"/>
    <mergeCell ref="L33:N33"/>
    <mergeCell ref="L34:N34"/>
    <mergeCell ref="L35:N35"/>
    <mergeCell ref="L36:N36"/>
    <mergeCell ref="L37:N37"/>
    <mergeCell ref="I27:K27"/>
    <mergeCell ref="I28:K28"/>
    <mergeCell ref="I29:K29"/>
    <mergeCell ref="I30:K30"/>
    <mergeCell ref="I31:K31"/>
    <mergeCell ref="I32:K32"/>
    <mergeCell ref="L28:N28"/>
    <mergeCell ref="L27:N27"/>
    <mergeCell ref="I37:K37"/>
    <mergeCell ref="O22:V22"/>
    <mergeCell ref="O23:V23"/>
    <mergeCell ref="O24:V24"/>
    <mergeCell ref="O25:V25"/>
    <mergeCell ref="O26:V26"/>
    <mergeCell ref="O27:V27"/>
    <mergeCell ref="O28:V28"/>
    <mergeCell ref="O29:V29"/>
    <mergeCell ref="L29:N29"/>
    <mergeCell ref="L26:N26"/>
    <mergeCell ref="L25:N25"/>
    <mergeCell ref="L24:N24"/>
    <mergeCell ref="L23:N23"/>
    <mergeCell ref="L22:N22"/>
    <mergeCell ref="B3:D4"/>
    <mergeCell ref="E3:X4"/>
    <mergeCell ref="W21:AD21"/>
    <mergeCell ref="B9:D9"/>
    <mergeCell ref="B10:D10"/>
    <mergeCell ref="B11:D11"/>
    <mergeCell ref="B12:D12"/>
    <mergeCell ref="B13:D13"/>
    <mergeCell ref="O21:V21"/>
    <mergeCell ref="I14:K15"/>
    <mergeCell ref="I16:K16"/>
    <mergeCell ref="I17:K17"/>
    <mergeCell ref="I18:K18"/>
    <mergeCell ref="I19:K19"/>
    <mergeCell ref="I20:K20"/>
    <mergeCell ref="I21:K21"/>
    <mergeCell ref="B14:B15"/>
    <mergeCell ref="C16:H16"/>
    <mergeCell ref="C17:H17"/>
    <mergeCell ref="C18:H18"/>
    <mergeCell ref="C19:H19"/>
    <mergeCell ref="C20:F20"/>
    <mergeCell ref="G20:H20"/>
    <mergeCell ref="L21:N21"/>
    <mergeCell ref="W35:AD35"/>
    <mergeCell ref="W36:AD36"/>
    <mergeCell ref="AF37:AG37"/>
    <mergeCell ref="AF38:AG38"/>
    <mergeCell ref="W33:AD33"/>
    <mergeCell ref="W34:AD34"/>
    <mergeCell ref="W31:AD31"/>
    <mergeCell ref="W32:AD32"/>
    <mergeCell ref="Y4:Z4"/>
    <mergeCell ref="W28:AD28"/>
    <mergeCell ref="W29:AD29"/>
    <mergeCell ref="W30:AD30"/>
    <mergeCell ref="AF31:AG31"/>
    <mergeCell ref="AF32:AG32"/>
    <mergeCell ref="AF33:AG33"/>
    <mergeCell ref="AF34:AG34"/>
    <mergeCell ref="AF35:AG35"/>
    <mergeCell ref="AF36:AG36"/>
    <mergeCell ref="W27:AD27"/>
    <mergeCell ref="AF29:AG29"/>
    <mergeCell ref="AF30:AG30"/>
    <mergeCell ref="W24:AD24"/>
    <mergeCell ref="W25:AD25"/>
    <mergeCell ref="W26:AD26"/>
    <mergeCell ref="AJ12:AY12"/>
    <mergeCell ref="AJ13:AY13"/>
    <mergeCell ref="AJ15:AY15"/>
    <mergeCell ref="AJ16:AY16"/>
    <mergeCell ref="AJ17:AY17"/>
    <mergeCell ref="AJ18:AY18"/>
    <mergeCell ref="AJ19:AY19"/>
    <mergeCell ref="AJ20:AY20"/>
    <mergeCell ref="AJ21:AY21"/>
    <mergeCell ref="B2:AD2"/>
    <mergeCell ref="B7:N7"/>
    <mergeCell ref="O7:AD7"/>
    <mergeCell ref="W16:AD16"/>
    <mergeCell ref="W17:AD17"/>
    <mergeCell ref="W18:AD18"/>
    <mergeCell ref="W19:AD19"/>
    <mergeCell ref="W20:AD20"/>
    <mergeCell ref="O16:V16"/>
    <mergeCell ref="O17:V17"/>
    <mergeCell ref="O18:V18"/>
    <mergeCell ref="O19:V19"/>
    <mergeCell ref="O20:V20"/>
    <mergeCell ref="E5:I5"/>
    <mergeCell ref="K5:O5"/>
    <mergeCell ref="AA4:AD4"/>
    <mergeCell ref="G9:I9"/>
    <mergeCell ref="G10:I10"/>
    <mergeCell ref="G11:I11"/>
    <mergeCell ref="G12:I12"/>
    <mergeCell ref="G13:I13"/>
    <mergeCell ref="Z13:AB13"/>
    <mergeCell ref="E8:F8"/>
    <mergeCell ref="E9:F9"/>
    <mergeCell ref="U42:W42"/>
    <mergeCell ref="Y5:Z5"/>
    <mergeCell ref="AA5:AB5"/>
    <mergeCell ref="C42:D42"/>
    <mergeCell ref="O36:V36"/>
    <mergeCell ref="O37:V37"/>
    <mergeCell ref="O38:V38"/>
    <mergeCell ref="O39:V39"/>
    <mergeCell ref="O30:V30"/>
    <mergeCell ref="O31:V31"/>
    <mergeCell ref="O32:V32"/>
    <mergeCell ref="O33:V33"/>
    <mergeCell ref="O34:V34"/>
    <mergeCell ref="O35:V35"/>
    <mergeCell ref="C37:F37"/>
    <mergeCell ref="E42:G42"/>
    <mergeCell ref="H42:J42"/>
    <mergeCell ref="N42:P42"/>
    <mergeCell ref="K42:M42"/>
    <mergeCell ref="Z8:AB8"/>
    <mergeCell ref="Z9:AB9"/>
    <mergeCell ref="Y10:AA10"/>
    <mergeCell ref="Z12:AB12"/>
    <mergeCell ref="W37:AD37"/>
    <mergeCell ref="C50:D50"/>
    <mergeCell ref="E50:G50"/>
    <mergeCell ref="H50:J50"/>
    <mergeCell ref="C45:D45"/>
    <mergeCell ref="C44:D44"/>
    <mergeCell ref="C43:D43"/>
    <mergeCell ref="E45:G45"/>
    <mergeCell ref="H45:J45"/>
    <mergeCell ref="C46:F46"/>
    <mergeCell ref="C47:D47"/>
    <mergeCell ref="E47:G47"/>
    <mergeCell ref="H47:J47"/>
    <mergeCell ref="C48:D48"/>
    <mergeCell ref="E48:G48"/>
    <mergeCell ref="H48:J48"/>
    <mergeCell ref="E43:G43"/>
    <mergeCell ref="H43:J43"/>
    <mergeCell ref="E44:G44"/>
    <mergeCell ref="H44:J44"/>
    <mergeCell ref="N50:P50"/>
    <mergeCell ref="N47:P47"/>
    <mergeCell ref="L50:M50"/>
    <mergeCell ref="L49:M49"/>
    <mergeCell ref="L48:M48"/>
    <mergeCell ref="L47:M47"/>
    <mergeCell ref="L46:O46"/>
    <mergeCell ref="Q50:S50"/>
    <mergeCell ref="Q47:S47"/>
    <mergeCell ref="N48:P48"/>
    <mergeCell ref="Q48:S48"/>
    <mergeCell ref="N49:P49"/>
    <mergeCell ref="Q49:S49"/>
    <mergeCell ref="K45:M45"/>
    <mergeCell ref="C41:F41"/>
    <mergeCell ref="C49:D49"/>
    <mergeCell ref="E49:G49"/>
    <mergeCell ref="H49:J49"/>
    <mergeCell ref="C39:F39"/>
    <mergeCell ref="G39:H39"/>
    <mergeCell ref="AJ3:AY3"/>
    <mergeCell ref="AJ4:AY4"/>
    <mergeCell ref="AJ5:AY5"/>
    <mergeCell ref="AJ6:AY6"/>
    <mergeCell ref="AJ7:AY7"/>
    <mergeCell ref="AJ8:AY8"/>
    <mergeCell ref="AJ9:AY9"/>
    <mergeCell ref="AJ10:AY10"/>
    <mergeCell ref="AJ11:AY11"/>
    <mergeCell ref="AF22:AG22"/>
    <mergeCell ref="AF23:AG23"/>
    <mergeCell ref="AF24:AG24"/>
    <mergeCell ref="AF25:AG25"/>
    <mergeCell ref="AF26:AG26"/>
    <mergeCell ref="AF27:AG27"/>
    <mergeCell ref="AF39:AG39"/>
    <mergeCell ref="AF28:AG28"/>
    <mergeCell ref="I38:K38"/>
    <mergeCell ref="I39:K39"/>
    <mergeCell ref="AJ22:AY22"/>
    <mergeCell ref="AJ38:AL38"/>
    <mergeCell ref="AM38:AN38"/>
    <mergeCell ref="AQ38:AR38"/>
    <mergeCell ref="AO38:AP38"/>
    <mergeCell ref="AJ14:AY14"/>
    <mergeCell ref="B8:D8"/>
    <mergeCell ref="K8:M8"/>
    <mergeCell ref="K9:M9"/>
    <mergeCell ref="K10:M10"/>
    <mergeCell ref="K11:M11"/>
    <mergeCell ref="K12:M12"/>
    <mergeCell ref="K13:M13"/>
    <mergeCell ref="G8:I8"/>
    <mergeCell ref="AF8:AG8"/>
    <mergeCell ref="G37:H37"/>
    <mergeCell ref="C38:F38"/>
    <mergeCell ref="G38:H38"/>
    <mergeCell ref="AJ23:AY23"/>
    <mergeCell ref="AJ24:AY24"/>
    <mergeCell ref="W22:AD22"/>
    <mergeCell ref="W23:AD23"/>
    <mergeCell ref="J52:O52"/>
    <mergeCell ref="N56:S56"/>
    <mergeCell ref="Y56:AD56"/>
    <mergeCell ref="I57:L57"/>
    <mergeCell ref="I58:L58"/>
    <mergeCell ref="T57:W57"/>
    <mergeCell ref="T58:W58"/>
    <mergeCell ref="E10:F10"/>
    <mergeCell ref="E11:F11"/>
    <mergeCell ref="E12:F12"/>
    <mergeCell ref="E13:F13"/>
    <mergeCell ref="N43:P43"/>
    <mergeCell ref="N44:P44"/>
    <mergeCell ref="K44:M44"/>
    <mergeCell ref="N45:P45"/>
    <mergeCell ref="K43:M43"/>
    <mergeCell ref="W38:AD38"/>
    <mergeCell ref="W39:AD39"/>
    <mergeCell ref="L38:N38"/>
    <mergeCell ref="L39:N39"/>
    <mergeCell ref="I33:K33"/>
    <mergeCell ref="I34:K34"/>
    <mergeCell ref="I35:K35"/>
    <mergeCell ref="I36:K36"/>
  </mergeCells>
  <phoneticPr fontId="2" type="noConversion"/>
  <conditionalFormatting sqref="I17:K39">
    <cfRule type="cellIs" dxfId="7" priority="15" stopIfTrue="1" operator="equal">
      <formula>"--"</formula>
    </cfRule>
    <cfRule type="cellIs" dxfId="6" priority="16" operator="lessThan">
      <formula>$A$18</formula>
    </cfRule>
    <cfRule type="cellIs" dxfId="5" priority="17" operator="greaterThan">
      <formula>$A$18*1.1</formula>
    </cfRule>
  </conditionalFormatting>
  <dataValidations count="7">
    <dataValidation type="list" allowBlank="1" showInputMessage="1" showErrorMessage="1" sqref="AG9:AG13" xr:uid="{00000000-0002-0000-0200-000000000000}">
      <formula1>$AH$2:$AI$2</formula1>
    </dataValidation>
    <dataValidation showDropDown="1" showInputMessage="1" showErrorMessage="1" sqref="AA5 AC5:AE5" xr:uid="{00000000-0002-0000-0200-000001000000}"/>
    <dataValidation type="list" allowBlank="1" showInputMessage="1" showErrorMessage="1" sqref="G20 G22:G39" xr:uid="{00000000-0002-0000-0200-000002000000}">
      <formula1>$AH$3:$AH$21</formula1>
    </dataValidation>
    <dataValidation type="list" showInputMessage="1" showErrorMessage="1" sqref="AG4" xr:uid="{00000000-0002-0000-0200-000003000000}">
      <formula1>$AJ$14:$AJ$14</formula1>
    </dataValidation>
    <dataValidation showInputMessage="1" showErrorMessage="1" sqref="AE20:AE39 AF4" xr:uid="{00000000-0002-0000-0200-000004000000}"/>
    <dataValidation type="list" showInputMessage="1" showErrorMessage="1" sqref="W20:AD39" xr:uid="{00000000-0002-0000-0200-000005000000}">
      <formula1>$AJ$3:$AJ$24</formula1>
    </dataValidation>
    <dataValidation type="list" allowBlank="1" showInputMessage="1" showErrorMessage="1" sqref="I58:L58 T58:W58" xr:uid="{00000000-0002-0000-0200-000006000000}">
      <formula1>"--,簡思寧,李龍宏,林世揚,許禎容,李佳蓁,王珮暄,吳宛蓁,李勇毅,陳建宏"</formula1>
    </dataValidation>
  </dataValidations>
  <hyperlinks>
    <hyperlink ref="A20" location="sample1!A1" display=" sample1" xr:uid="{00000000-0004-0000-0200-000000000000}"/>
    <hyperlink ref="A21" location="sample2!A1" display=" sample2" xr:uid="{00000000-0004-0000-0200-000001000000}"/>
    <hyperlink ref="A22" location="sample3!A1" display=" sample3" xr:uid="{00000000-0004-0000-0200-000002000000}"/>
    <hyperlink ref="A23" location="sample4!A1" display=" sample4" xr:uid="{00000000-0004-0000-0200-000003000000}"/>
    <hyperlink ref="A24" location="sample5!A1" display=" sample5" xr:uid="{00000000-0004-0000-0200-000004000000}"/>
    <hyperlink ref="A25" location="sample6!A1" display=" sample6" xr:uid="{00000000-0004-0000-0200-000005000000}"/>
    <hyperlink ref="A26" location="sample7!A1" display=" sample7" xr:uid="{00000000-0004-0000-0200-000006000000}"/>
    <hyperlink ref="A27" location="sample8!A1" display=" sample8" xr:uid="{00000000-0004-0000-0200-000007000000}"/>
    <hyperlink ref="A28" location="sample9!A1" display=" sample9" xr:uid="{00000000-0004-0000-0200-000008000000}"/>
    <hyperlink ref="A29" location="sample10!A1" display=" sample10" xr:uid="{00000000-0004-0000-0200-000009000000}"/>
    <hyperlink ref="A30" location="sample11!A1" display=" sample11" xr:uid="{00000000-0004-0000-0200-00000A000000}"/>
    <hyperlink ref="A31" location="sample12!A1" display=" sample12" xr:uid="{00000000-0004-0000-0200-00000B000000}"/>
    <hyperlink ref="A32" location="sample13!A1" display=" sample13" xr:uid="{00000000-0004-0000-0200-00000C000000}"/>
    <hyperlink ref="A33" location="sample14!A1" display=" sample14" xr:uid="{00000000-0004-0000-0200-00000D000000}"/>
    <hyperlink ref="A34" location="sample15!A1" display=" sample15" xr:uid="{00000000-0004-0000-0200-00000E000000}"/>
    <hyperlink ref="A35" location="sample16!A1" display=" sample16" xr:uid="{00000000-0004-0000-0200-00000F000000}"/>
    <hyperlink ref="A36" location="sample17!A1" display=" sample17" xr:uid="{00000000-0004-0000-0200-000010000000}"/>
    <hyperlink ref="A37" location="sample18!A1" display=" sample18" xr:uid="{00000000-0004-0000-0200-000011000000}"/>
    <hyperlink ref="A38" location="sample19!A1" display=" sample19" xr:uid="{00000000-0004-0000-0200-000012000000}"/>
    <hyperlink ref="A39" location="sample20!A1" display=" sample20" xr:uid="{00000000-0004-0000-0200-000013000000}"/>
  </hyperlinks>
  <pageMargins left="0.59055118110236227" right="0.39370078740157483" top="1.0629921259842521" bottom="0.39370078740157483" header="0.59055118110236227" footer="0.19685039370078741"/>
  <pageSetup paperSize="9" scale="90" orientation="portrait" r:id="rId1"/>
  <headerFooter scaleWithDoc="0">
    <oddHeader>&amp;L&amp;G</oddHeader>
    <oddFooter>&amp;R&amp;"Calibri,Regular"FC17-CHI999-W53 Rev 1.3
Page 1 of 1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heets">
                <anchor moveWithCells="1" sizeWithCells="1">
                  <from>
                    <xdr:col>31</xdr:col>
                    <xdr:colOff>123825</xdr:colOff>
                    <xdr:row>0</xdr:row>
                    <xdr:rowOff>76200</xdr:rowOff>
                  </from>
                  <to>
                    <xdr:col>31</xdr:col>
                    <xdr:colOff>895350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7000000}">
          <x14:formula1>
            <xm:f>OFFSET(測試方法!$A$3,0,0,COUNTA(測試方法!$A$3:$A$101),1)</xm:f>
          </x14:formula1>
          <xm:sqref>E3:X4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O41"/>
  <sheetViews>
    <sheetView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6" sqref="A36"/>
    </sheetView>
  </sheetViews>
  <sheetFormatPr defaultColWidth="9.140625" defaultRowHeight="15" x14ac:dyDescent="0.25"/>
  <cols>
    <col min="1" max="1" width="93.5703125" style="30" customWidth="1"/>
    <col min="2" max="2" width="6.28515625" style="48" bestFit="1" customWidth="1"/>
    <col min="3" max="12" width="9.7109375" style="30" customWidth="1"/>
    <col min="13" max="13" width="9.7109375" style="48" customWidth="1"/>
    <col min="14" max="41" width="7.7109375" style="48" customWidth="1"/>
    <col min="42" max="16384" width="9.140625" style="30"/>
  </cols>
  <sheetData>
    <row r="1" spans="1:41" ht="15.75" customHeight="1" x14ac:dyDescent="0.25">
      <c r="A1" s="464" t="s">
        <v>95</v>
      </c>
      <c r="B1" s="466" t="s">
        <v>329</v>
      </c>
      <c r="C1" s="468" t="s">
        <v>330</v>
      </c>
      <c r="D1" s="469"/>
      <c r="E1" s="469"/>
      <c r="F1" s="469"/>
      <c r="G1" s="469"/>
      <c r="H1" s="469"/>
      <c r="I1" s="469"/>
      <c r="J1" s="469"/>
      <c r="K1" s="469"/>
      <c r="L1" s="469"/>
      <c r="M1" s="470"/>
      <c r="N1" s="471" t="s">
        <v>369</v>
      </c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472"/>
      <c r="AD1" s="472"/>
      <c r="AE1" s="472"/>
      <c r="AF1" s="472"/>
      <c r="AG1" s="472"/>
      <c r="AH1" s="472"/>
      <c r="AI1" s="472"/>
      <c r="AJ1" s="472"/>
      <c r="AK1" s="472"/>
      <c r="AL1" s="472"/>
      <c r="AM1" s="472"/>
      <c r="AN1" s="472"/>
      <c r="AO1" s="473"/>
    </row>
    <row r="2" spans="1:41" ht="15.75" thickBot="1" x14ac:dyDescent="0.3">
      <c r="A2" s="465"/>
      <c r="B2" s="467"/>
      <c r="C2" s="287" t="s">
        <v>98</v>
      </c>
      <c r="D2" s="275" t="s">
        <v>99</v>
      </c>
      <c r="E2" s="275" t="s">
        <v>100</v>
      </c>
      <c r="F2" s="275" t="s">
        <v>101</v>
      </c>
      <c r="G2" s="275" t="s">
        <v>102</v>
      </c>
      <c r="H2" s="275" t="s">
        <v>331</v>
      </c>
      <c r="I2" s="275" t="s">
        <v>103</v>
      </c>
      <c r="J2" s="276" t="s">
        <v>104</v>
      </c>
      <c r="K2" s="275" t="s">
        <v>421</v>
      </c>
      <c r="L2" s="276" t="s">
        <v>422</v>
      </c>
      <c r="M2" s="299" t="s">
        <v>423</v>
      </c>
      <c r="N2" s="150" t="s">
        <v>419</v>
      </c>
      <c r="O2" s="269" t="str">
        <f>IF([1]樣品清單!F1="","",[1]樣品清單!F1)</f>
        <v>V 51</v>
      </c>
      <c r="P2" s="150" t="str">
        <f>IF([1]樣品清單!G1="","",[1]樣品清單!G1)</f>
        <v>Cr 52</v>
      </c>
      <c r="Q2" s="150" t="str">
        <f>IF([1]樣品清單!H1="","",[1]樣品清單!H1)</f>
        <v>Mn 55</v>
      </c>
      <c r="R2" s="151" t="s">
        <v>367</v>
      </c>
      <c r="S2" s="150" t="str">
        <f>IF([1]樣品清單!I1="","",[1]樣品清單!I1)</f>
        <v>Co 59</v>
      </c>
      <c r="T2" s="150" t="str">
        <f>IF([1]樣品清單!J1="","",[1]樣品清單!J1)</f>
        <v>Ni 60</v>
      </c>
      <c r="U2" s="150" t="str">
        <f>IF([1]樣品清單!K1="","",[1]樣品清單!K1)</f>
        <v>Cu 63</v>
      </c>
      <c r="V2" s="150" t="s">
        <v>210</v>
      </c>
      <c r="W2" s="150" t="str">
        <f>IF([1]樣品清單!L1="","",[1]樣品清單!L1)</f>
        <v>Zn 66</v>
      </c>
      <c r="X2" s="150" t="str">
        <f>IF([1]樣品清單!M1="","",[1]樣品清單!M1)</f>
        <v>Ge 72</v>
      </c>
      <c r="Y2" s="150" t="str">
        <f>IF([1]樣品清單!N1="","",[1]樣品清單!N1)</f>
        <v>As 75</v>
      </c>
      <c r="Z2" s="150" t="str">
        <f>IF([1]樣品清單!O1="","",[1]樣品清單!O1)</f>
        <v>Se 78</v>
      </c>
      <c r="AA2" s="150" t="str">
        <f>IF([1]樣品清單!P1="","",[1]樣品清單!P1)</f>
        <v>Sr 88</v>
      </c>
      <c r="AB2" s="150" t="str">
        <f>IF([1]樣品清單!Q1="","",[1]樣品清單!Q1)</f>
        <v>Zr 90</v>
      </c>
      <c r="AC2" s="150" t="str">
        <f>IF([1]樣品清單!R1="","",[1]樣品清單!R1)</f>
        <v>Mo  96</v>
      </c>
      <c r="AD2" s="151" t="s">
        <v>283</v>
      </c>
      <c r="AE2" s="150" t="str">
        <f>IF([1]樣品清單!S1="","",[1]樣品清單!S1)</f>
        <v>Cd 111</v>
      </c>
      <c r="AF2" s="150" t="str">
        <f>IF([1]樣品清單!T1="","",[1]樣品清單!T1)</f>
        <v>Sn 120</v>
      </c>
      <c r="AG2" s="150" t="str">
        <f>IF([1]樣品清單!U1="","",[1]樣品清單!U1)</f>
        <v>Sb 121</v>
      </c>
      <c r="AH2" s="150" t="s">
        <v>420</v>
      </c>
      <c r="AI2" s="150" t="str">
        <f>IF([1]樣品清單!V1="","",[1]樣品清單!V1)</f>
        <v>Ba 138</v>
      </c>
      <c r="AJ2" s="150" t="s">
        <v>417</v>
      </c>
      <c r="AK2" s="150" t="str">
        <f>IF([1]樣品清單!W1="","",[1]樣品清單!W1)</f>
        <v>Hg 202</v>
      </c>
      <c r="AL2" s="150" t="s">
        <v>418</v>
      </c>
      <c r="AM2" s="150" t="str">
        <f>IF([1]樣品清單!X1="","",[1]樣品清單!X1)</f>
        <v>Pb 208</v>
      </c>
      <c r="AN2" s="151" t="s">
        <v>282</v>
      </c>
      <c r="AO2" s="299"/>
    </row>
    <row r="3" spans="1:41" x14ac:dyDescent="0.25">
      <c r="A3" s="209" t="s">
        <v>0</v>
      </c>
      <c r="B3" s="130"/>
      <c r="C3" s="264" t="s">
        <v>0</v>
      </c>
      <c r="D3" s="147" t="s">
        <v>0</v>
      </c>
      <c r="E3" s="147" t="s">
        <v>0</v>
      </c>
      <c r="F3" s="147" t="s">
        <v>0</v>
      </c>
      <c r="G3" s="147" t="s">
        <v>0</v>
      </c>
      <c r="H3" s="147" t="s">
        <v>0</v>
      </c>
      <c r="I3" s="147" t="s">
        <v>0</v>
      </c>
      <c r="J3" s="265" t="s">
        <v>0</v>
      </c>
      <c r="K3" s="147" t="s">
        <v>387</v>
      </c>
      <c r="L3" s="266" t="s">
        <v>397</v>
      </c>
      <c r="M3" s="288" t="s">
        <v>387</v>
      </c>
      <c r="N3" s="131"/>
      <c r="O3" s="311"/>
      <c r="P3" s="131"/>
      <c r="Q3" s="131"/>
      <c r="R3" s="312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312"/>
      <c r="AE3" s="131"/>
      <c r="AF3" s="131"/>
      <c r="AG3" s="131"/>
      <c r="AH3" s="131"/>
      <c r="AI3" s="131"/>
      <c r="AJ3" s="131"/>
      <c r="AK3" s="131"/>
      <c r="AL3" s="131"/>
      <c r="AM3" s="131"/>
      <c r="AN3" s="312"/>
      <c r="AO3" s="313"/>
    </row>
    <row r="4" spans="1:41" x14ac:dyDescent="0.25">
      <c r="A4" s="210" t="s">
        <v>332</v>
      </c>
      <c r="B4" s="63" t="s">
        <v>249</v>
      </c>
      <c r="C4" s="52">
        <v>10</v>
      </c>
      <c r="D4" s="147" t="s">
        <v>0</v>
      </c>
      <c r="E4" s="147" t="s">
        <v>0</v>
      </c>
      <c r="F4" s="147" t="s">
        <v>0</v>
      </c>
      <c r="G4" s="147" t="s">
        <v>0</v>
      </c>
      <c r="H4" s="147" t="s">
        <v>0</v>
      </c>
      <c r="I4" s="211">
        <f>J4</f>
        <v>50</v>
      </c>
      <c r="J4" s="266">
        <v>50</v>
      </c>
      <c r="K4" s="50" t="s">
        <v>370</v>
      </c>
      <c r="L4" s="212" t="s">
        <v>371</v>
      </c>
      <c r="M4" s="53" t="s">
        <v>383</v>
      </c>
      <c r="N4" s="49"/>
      <c r="O4" s="270"/>
      <c r="P4" s="49"/>
      <c r="Q4" s="49"/>
      <c r="R4" s="212"/>
      <c r="S4" s="49"/>
      <c r="T4" s="49"/>
      <c r="U4" s="49">
        <v>5</v>
      </c>
      <c r="V4" s="49"/>
      <c r="W4" s="49"/>
      <c r="X4" s="49"/>
      <c r="Y4" s="49">
        <v>0.1</v>
      </c>
      <c r="Z4" s="49"/>
      <c r="AA4" s="49"/>
      <c r="AB4" s="49"/>
      <c r="AC4" s="49"/>
      <c r="AD4" s="212"/>
      <c r="AE4" s="49">
        <v>0.05</v>
      </c>
      <c r="AF4" s="49"/>
      <c r="AG4" s="49"/>
      <c r="AH4" s="49"/>
      <c r="AI4" s="49"/>
      <c r="AJ4" s="49"/>
      <c r="AK4" s="49">
        <v>0.02</v>
      </c>
      <c r="AL4" s="49"/>
      <c r="AM4" s="49">
        <v>0.1</v>
      </c>
      <c r="AN4" s="212"/>
      <c r="AO4" s="53"/>
    </row>
    <row r="5" spans="1:41" x14ac:dyDescent="0.25">
      <c r="A5" s="55" t="s">
        <v>256</v>
      </c>
      <c r="B5" s="63"/>
      <c r="C5" s="52">
        <v>9</v>
      </c>
      <c r="D5" s="49" t="s">
        <v>97</v>
      </c>
      <c r="E5" s="49">
        <v>3</v>
      </c>
      <c r="F5" s="49">
        <v>1</v>
      </c>
      <c r="G5" s="49" t="s">
        <v>97</v>
      </c>
      <c r="H5" s="50" t="s">
        <v>0</v>
      </c>
      <c r="I5" s="211">
        <f t="shared" ref="I5:I34" si="0">J5</f>
        <v>50</v>
      </c>
      <c r="J5" s="212">
        <v>50</v>
      </c>
      <c r="K5" s="49">
        <v>0.1</v>
      </c>
      <c r="L5" s="212" t="s">
        <v>371</v>
      </c>
      <c r="M5" s="53" t="s">
        <v>383</v>
      </c>
      <c r="N5" s="49"/>
      <c r="O5" s="270"/>
      <c r="P5" s="49"/>
      <c r="Q5" s="49"/>
      <c r="R5" s="212"/>
      <c r="S5" s="49"/>
      <c r="T5" s="49"/>
      <c r="U5" s="49"/>
      <c r="V5" s="49"/>
      <c r="W5" s="49"/>
      <c r="X5" s="49"/>
      <c r="Y5" s="49">
        <v>0.75</v>
      </c>
      <c r="Z5" s="49"/>
      <c r="AA5" s="49"/>
      <c r="AB5" s="49"/>
      <c r="AC5" s="49"/>
      <c r="AD5" s="212"/>
      <c r="AE5" s="49"/>
      <c r="AF5" s="49"/>
      <c r="AG5" s="49"/>
      <c r="AH5" s="49"/>
      <c r="AI5" s="49"/>
      <c r="AJ5" s="49"/>
      <c r="AK5" s="49"/>
      <c r="AL5" s="49"/>
      <c r="AM5" s="49"/>
      <c r="AN5" s="212"/>
      <c r="AO5" s="53"/>
    </row>
    <row r="6" spans="1:41" x14ac:dyDescent="0.25">
      <c r="A6" s="55" t="s">
        <v>105</v>
      </c>
      <c r="B6" s="63" t="s">
        <v>92</v>
      </c>
      <c r="C6" s="54" t="s">
        <v>0</v>
      </c>
      <c r="D6" s="50">
        <v>12</v>
      </c>
      <c r="E6" s="50" t="s">
        <v>0</v>
      </c>
      <c r="F6" s="50" t="s">
        <v>0</v>
      </c>
      <c r="G6" s="50" t="s">
        <v>0</v>
      </c>
      <c r="H6" s="50" t="s">
        <v>0</v>
      </c>
      <c r="I6" s="211">
        <f t="shared" si="0"/>
        <v>25</v>
      </c>
      <c r="J6" s="212">
        <v>25</v>
      </c>
      <c r="K6" s="49">
        <v>0.5</v>
      </c>
      <c r="L6" s="212" t="s">
        <v>371</v>
      </c>
      <c r="M6" s="53" t="s">
        <v>383</v>
      </c>
      <c r="N6" s="153"/>
      <c r="O6" s="271"/>
      <c r="P6" s="49">
        <v>0.02</v>
      </c>
      <c r="Q6" s="152"/>
      <c r="R6" s="154"/>
      <c r="S6" s="152"/>
      <c r="T6" s="49">
        <v>0.02</v>
      </c>
      <c r="U6" s="49">
        <v>0.02</v>
      </c>
      <c r="V6" s="153"/>
      <c r="W6" s="49">
        <v>0.5</v>
      </c>
      <c r="X6" s="49"/>
      <c r="Y6" s="49">
        <v>0.02</v>
      </c>
      <c r="Z6" s="49">
        <v>0.25</v>
      </c>
      <c r="AA6" s="152"/>
      <c r="AB6" s="152"/>
      <c r="AC6" s="152"/>
      <c r="AD6" s="154"/>
      <c r="AE6" s="49">
        <v>0.02</v>
      </c>
      <c r="AF6" s="49">
        <v>0.02</v>
      </c>
      <c r="AG6" s="49">
        <v>0.02</v>
      </c>
      <c r="AH6" s="153"/>
      <c r="AI6" s="152"/>
      <c r="AJ6" s="153"/>
      <c r="AK6" s="49">
        <v>0.02</v>
      </c>
      <c r="AL6" s="153"/>
      <c r="AM6" s="49">
        <v>0.02</v>
      </c>
      <c r="AN6" s="154"/>
      <c r="AO6" s="155"/>
    </row>
    <row r="7" spans="1:41" x14ac:dyDescent="0.25">
      <c r="A7" s="55" t="s">
        <v>167</v>
      </c>
      <c r="B7" s="63" t="s">
        <v>212</v>
      </c>
      <c r="C7" s="52">
        <v>6</v>
      </c>
      <c r="D7" s="50" t="s">
        <v>0</v>
      </c>
      <c r="E7" s="50" t="s">
        <v>0</v>
      </c>
      <c r="F7" s="50" t="s">
        <v>0</v>
      </c>
      <c r="G7" s="49">
        <v>1.5</v>
      </c>
      <c r="H7" s="50" t="s">
        <v>0</v>
      </c>
      <c r="I7" s="211">
        <f t="shared" si="0"/>
        <v>20</v>
      </c>
      <c r="J7" s="212">
        <v>20</v>
      </c>
      <c r="K7" s="49">
        <v>0.2</v>
      </c>
      <c r="L7" s="212" t="s">
        <v>371</v>
      </c>
      <c r="M7" s="53" t="s">
        <v>383</v>
      </c>
      <c r="N7" s="152"/>
      <c r="O7" s="271"/>
      <c r="P7" s="49"/>
      <c r="Q7" s="152"/>
      <c r="R7" s="157"/>
      <c r="S7" s="152"/>
      <c r="T7" s="49"/>
      <c r="U7" s="156">
        <v>2</v>
      </c>
      <c r="V7" s="152"/>
      <c r="W7" s="49"/>
      <c r="X7" s="49"/>
      <c r="Y7" s="49">
        <v>0.2</v>
      </c>
      <c r="Z7" s="49"/>
      <c r="AA7" s="152"/>
      <c r="AB7" s="152"/>
      <c r="AC7" s="152"/>
      <c r="AD7" s="157"/>
      <c r="AE7" s="49">
        <v>0.03</v>
      </c>
      <c r="AF7" s="49"/>
      <c r="AG7" s="49"/>
      <c r="AH7" s="152"/>
      <c r="AI7" s="152"/>
      <c r="AJ7" s="152"/>
      <c r="AK7" s="49">
        <v>0.05</v>
      </c>
      <c r="AL7" s="152"/>
      <c r="AM7" s="49">
        <v>0.5</v>
      </c>
      <c r="AN7" s="157"/>
      <c r="AO7" s="158"/>
    </row>
    <row r="8" spans="1:41" x14ac:dyDescent="0.25">
      <c r="A8" s="55" t="s">
        <v>192</v>
      </c>
      <c r="B8" s="63" t="s">
        <v>213</v>
      </c>
      <c r="C8" s="54" t="s">
        <v>0</v>
      </c>
      <c r="D8" s="50">
        <v>12</v>
      </c>
      <c r="E8" s="50" t="s">
        <v>0</v>
      </c>
      <c r="F8" s="50" t="s">
        <v>0</v>
      </c>
      <c r="G8" s="50">
        <v>2</v>
      </c>
      <c r="H8" s="50" t="s">
        <v>0</v>
      </c>
      <c r="I8" s="211">
        <f t="shared" si="0"/>
        <v>50</v>
      </c>
      <c r="J8" s="212">
        <v>50</v>
      </c>
      <c r="K8" s="49">
        <v>0.25</v>
      </c>
      <c r="L8" s="212" t="s">
        <v>371</v>
      </c>
      <c r="M8" s="53" t="s">
        <v>383</v>
      </c>
      <c r="N8" s="152">
        <v>0.1</v>
      </c>
      <c r="O8" s="271"/>
      <c r="P8" s="49">
        <v>0.1</v>
      </c>
      <c r="Q8" s="152"/>
      <c r="R8" s="157"/>
      <c r="S8" s="152">
        <v>0.1</v>
      </c>
      <c r="T8" s="49">
        <v>0.1</v>
      </c>
      <c r="U8" s="49"/>
      <c r="V8" s="152"/>
      <c r="W8" s="49"/>
      <c r="X8" s="49"/>
      <c r="Y8" s="49">
        <v>0.1</v>
      </c>
      <c r="Z8" s="49"/>
      <c r="AA8" s="152">
        <v>0.1</v>
      </c>
      <c r="AB8" s="152">
        <v>0.1</v>
      </c>
      <c r="AC8" s="152"/>
      <c r="AD8" s="157"/>
      <c r="AE8" s="49">
        <v>0.1</v>
      </c>
      <c r="AF8" s="49"/>
      <c r="AG8" s="49">
        <v>0.1</v>
      </c>
      <c r="AH8" s="152">
        <v>0.1</v>
      </c>
      <c r="AI8" s="152">
        <v>0.1</v>
      </c>
      <c r="AJ8" s="152">
        <v>0.1</v>
      </c>
      <c r="AK8" s="49">
        <v>0.1</v>
      </c>
      <c r="AL8" s="152">
        <v>0.1</v>
      </c>
      <c r="AM8" s="49">
        <v>0.1</v>
      </c>
      <c r="AN8" s="157">
        <v>0.1</v>
      </c>
      <c r="AO8" s="158"/>
    </row>
    <row r="9" spans="1:41" s="208" customFormat="1" x14ac:dyDescent="0.25">
      <c r="A9" s="55" t="s">
        <v>106</v>
      </c>
      <c r="B9" s="63" t="s">
        <v>214</v>
      </c>
      <c r="C9" s="54" t="s">
        <v>0</v>
      </c>
      <c r="D9" s="49">
        <v>6</v>
      </c>
      <c r="E9" s="50" t="s">
        <v>0</v>
      </c>
      <c r="F9" s="50" t="s">
        <v>0</v>
      </c>
      <c r="G9" s="50" t="s">
        <v>0</v>
      </c>
      <c r="H9" s="50" t="s">
        <v>0</v>
      </c>
      <c r="I9" s="211">
        <f t="shared" si="0"/>
        <v>50</v>
      </c>
      <c r="J9" s="212">
        <v>50</v>
      </c>
      <c r="K9" s="49">
        <v>0.5</v>
      </c>
      <c r="L9" s="212" t="s">
        <v>371</v>
      </c>
      <c r="M9" s="53" t="s">
        <v>383</v>
      </c>
      <c r="N9" s="152"/>
      <c r="O9" s="271"/>
      <c r="P9" s="49"/>
      <c r="Q9" s="152"/>
      <c r="R9" s="157"/>
      <c r="S9" s="152"/>
      <c r="T9" s="49"/>
      <c r="U9" s="49"/>
      <c r="V9" s="152">
        <v>0.05</v>
      </c>
      <c r="W9" s="49"/>
      <c r="X9" s="49"/>
      <c r="Y9" s="49">
        <v>0.05</v>
      </c>
      <c r="Z9" s="49"/>
      <c r="AA9" s="152"/>
      <c r="AB9" s="152"/>
      <c r="AC9" s="152"/>
      <c r="AD9" s="157"/>
      <c r="AE9" s="49">
        <v>0.02</v>
      </c>
      <c r="AF9" s="49"/>
      <c r="AG9" s="49"/>
      <c r="AH9" s="152"/>
      <c r="AI9" s="152"/>
      <c r="AJ9" s="152"/>
      <c r="AK9" s="49">
        <v>0.02</v>
      </c>
      <c r="AL9" s="152"/>
      <c r="AM9" s="49">
        <v>0.02</v>
      </c>
      <c r="AN9" s="157"/>
      <c r="AO9" s="158"/>
    </row>
    <row r="10" spans="1:41" x14ac:dyDescent="0.25">
      <c r="A10" s="55" t="s">
        <v>108</v>
      </c>
      <c r="B10" s="63" t="s">
        <v>215</v>
      </c>
      <c r="C10" s="54" t="s">
        <v>0</v>
      </c>
      <c r="D10" s="50">
        <v>6</v>
      </c>
      <c r="E10" s="50" t="s">
        <v>0</v>
      </c>
      <c r="F10" s="50" t="s">
        <v>0</v>
      </c>
      <c r="G10" s="50" t="s">
        <v>0</v>
      </c>
      <c r="H10" s="50" t="s">
        <v>0</v>
      </c>
      <c r="I10" s="211">
        <f t="shared" si="0"/>
        <v>50</v>
      </c>
      <c r="J10" s="212">
        <v>50</v>
      </c>
      <c r="K10" s="49">
        <v>2</v>
      </c>
      <c r="L10" s="212" t="s">
        <v>371</v>
      </c>
      <c r="M10" s="53" t="s">
        <v>383</v>
      </c>
      <c r="N10" s="152"/>
      <c r="O10" s="271"/>
      <c r="P10" s="49"/>
      <c r="Q10" s="152"/>
      <c r="R10" s="157"/>
      <c r="S10" s="152"/>
      <c r="T10" s="49"/>
      <c r="U10" s="49"/>
      <c r="V10" s="152"/>
      <c r="W10" s="49"/>
      <c r="X10" s="49"/>
      <c r="Y10" s="49"/>
      <c r="Z10" s="49"/>
      <c r="AA10" s="152"/>
      <c r="AB10" s="152"/>
      <c r="AC10" s="152"/>
      <c r="AD10" s="157"/>
      <c r="AE10" s="49">
        <v>0.1</v>
      </c>
      <c r="AF10" s="49"/>
      <c r="AG10" s="49"/>
      <c r="AH10" s="152"/>
      <c r="AI10" s="152"/>
      <c r="AJ10" s="152"/>
      <c r="AK10" s="49"/>
      <c r="AL10" s="152"/>
      <c r="AM10" s="49">
        <v>0.1</v>
      </c>
      <c r="AN10" s="157"/>
      <c r="AO10" s="158"/>
    </row>
    <row r="11" spans="1:41" x14ac:dyDescent="0.25">
      <c r="A11" s="55" t="s">
        <v>107</v>
      </c>
      <c r="B11" s="63" t="s">
        <v>215</v>
      </c>
      <c r="C11" s="54" t="s">
        <v>0</v>
      </c>
      <c r="D11" s="50">
        <v>6</v>
      </c>
      <c r="E11" s="50" t="s">
        <v>0</v>
      </c>
      <c r="F11" s="50" t="s">
        <v>0</v>
      </c>
      <c r="G11" s="50" t="s">
        <v>0</v>
      </c>
      <c r="H11" s="50" t="s">
        <v>0</v>
      </c>
      <c r="I11" s="211">
        <f t="shared" si="0"/>
        <v>50</v>
      </c>
      <c r="J11" s="212">
        <v>50</v>
      </c>
      <c r="K11" s="49">
        <v>0.5</v>
      </c>
      <c r="L11" s="212" t="s">
        <v>371</v>
      </c>
      <c r="M11" s="53" t="s">
        <v>383</v>
      </c>
      <c r="N11" s="152"/>
      <c r="O11" s="271"/>
      <c r="P11" s="49"/>
      <c r="Q11" s="152"/>
      <c r="R11" s="157"/>
      <c r="S11" s="152"/>
      <c r="T11" s="49"/>
      <c r="U11" s="49"/>
      <c r="V11" s="152"/>
      <c r="W11" s="49"/>
      <c r="X11" s="49"/>
      <c r="Y11" s="49"/>
      <c r="Z11" s="49"/>
      <c r="AA11" s="152"/>
      <c r="AB11" s="152"/>
      <c r="AC11" s="152"/>
      <c r="AD11" s="157"/>
      <c r="AE11" s="49">
        <v>0.02</v>
      </c>
      <c r="AF11" s="49"/>
      <c r="AG11" s="49"/>
      <c r="AH11" s="152"/>
      <c r="AI11" s="152"/>
      <c r="AJ11" s="152"/>
      <c r="AK11" s="49">
        <v>5.0000000000000001E-3</v>
      </c>
      <c r="AL11" s="152"/>
      <c r="AM11" s="49">
        <v>0.02</v>
      </c>
      <c r="AN11" s="157"/>
      <c r="AO11" s="158"/>
    </row>
    <row r="12" spans="1:41" x14ac:dyDescent="0.25">
      <c r="A12" s="55" t="s">
        <v>285</v>
      </c>
      <c r="B12" s="63" t="s">
        <v>216</v>
      </c>
      <c r="C12" s="54" t="s">
        <v>433</v>
      </c>
      <c r="D12" s="50">
        <v>2</v>
      </c>
      <c r="E12" s="50" t="s">
        <v>0</v>
      </c>
      <c r="F12" s="50" t="s">
        <v>0</v>
      </c>
      <c r="G12" s="50" t="s">
        <v>0</v>
      </c>
      <c r="H12" s="50" t="s">
        <v>0</v>
      </c>
      <c r="I12" s="211">
        <f t="shared" si="0"/>
        <v>25</v>
      </c>
      <c r="J12" s="212">
        <v>25</v>
      </c>
      <c r="K12" s="49">
        <v>5</v>
      </c>
      <c r="L12" s="212" t="s">
        <v>372</v>
      </c>
      <c r="M12" s="53" t="s">
        <v>389</v>
      </c>
      <c r="N12" s="152"/>
      <c r="O12" s="271"/>
      <c r="P12" s="49"/>
      <c r="Q12" s="152"/>
      <c r="R12" s="157"/>
      <c r="S12" s="152"/>
      <c r="T12" s="49"/>
      <c r="U12" s="49"/>
      <c r="V12" s="152"/>
      <c r="W12" s="49"/>
      <c r="X12" s="49"/>
      <c r="Y12" s="49"/>
      <c r="Z12" s="49"/>
      <c r="AA12" s="152"/>
      <c r="AB12" s="152"/>
      <c r="AC12" s="152"/>
      <c r="AD12" s="157"/>
      <c r="AE12" s="49"/>
      <c r="AF12" s="49"/>
      <c r="AG12" s="49"/>
      <c r="AH12" s="152"/>
      <c r="AI12" s="152"/>
      <c r="AJ12" s="152"/>
      <c r="AK12" s="49"/>
      <c r="AL12" s="152"/>
      <c r="AM12" s="49">
        <v>1E-3</v>
      </c>
      <c r="AN12" s="157"/>
      <c r="AO12" s="158"/>
    </row>
    <row r="13" spans="1:41" x14ac:dyDescent="0.25">
      <c r="A13" s="55" t="s">
        <v>109</v>
      </c>
      <c r="B13" s="63" t="s">
        <v>217</v>
      </c>
      <c r="C13" s="54" t="s">
        <v>0</v>
      </c>
      <c r="D13" s="49">
        <v>1</v>
      </c>
      <c r="E13" s="50" t="s">
        <v>0</v>
      </c>
      <c r="F13" s="50" t="s">
        <v>0</v>
      </c>
      <c r="G13" s="50" t="s">
        <v>0</v>
      </c>
      <c r="H13" s="50" t="s">
        <v>0</v>
      </c>
      <c r="I13" s="211">
        <f t="shared" si="0"/>
        <v>20</v>
      </c>
      <c r="J13" s="212">
        <v>20</v>
      </c>
      <c r="K13" s="49">
        <v>10</v>
      </c>
      <c r="L13" s="212" t="s">
        <v>371</v>
      </c>
      <c r="M13" s="289" t="s">
        <v>387</v>
      </c>
      <c r="N13" s="152"/>
      <c r="O13" s="271"/>
      <c r="P13" s="49"/>
      <c r="Q13" s="152"/>
      <c r="R13" s="157"/>
      <c r="S13" s="152"/>
      <c r="T13" s="49"/>
      <c r="U13" s="49"/>
      <c r="V13" s="152"/>
      <c r="W13" s="49"/>
      <c r="X13" s="49"/>
      <c r="Y13" s="49">
        <v>5.0000000000000001E-4</v>
      </c>
      <c r="Z13" s="49"/>
      <c r="AA13" s="152"/>
      <c r="AB13" s="152"/>
      <c r="AC13" s="152"/>
      <c r="AD13" s="157"/>
      <c r="AE13" s="49">
        <v>5.0000000000000001E-4</v>
      </c>
      <c r="AF13" s="49"/>
      <c r="AG13" s="49">
        <v>5.0000000000000001E-4</v>
      </c>
      <c r="AH13" s="152"/>
      <c r="AI13" s="152"/>
      <c r="AJ13" s="152"/>
      <c r="AK13" s="49">
        <v>5.0000000000000001E-4</v>
      </c>
      <c r="AL13" s="152"/>
      <c r="AM13" s="49">
        <v>5.0000000000000001E-4</v>
      </c>
      <c r="AN13" s="157"/>
      <c r="AO13" s="158"/>
    </row>
    <row r="14" spans="1:41" x14ac:dyDescent="0.25">
      <c r="A14" s="55" t="s">
        <v>96</v>
      </c>
      <c r="B14" s="63"/>
      <c r="C14" s="51"/>
      <c r="D14" s="47"/>
      <c r="E14" s="47"/>
      <c r="F14" s="47"/>
      <c r="G14" s="47"/>
      <c r="H14" s="47"/>
      <c r="I14" s="47"/>
      <c r="J14" s="148"/>
      <c r="K14" s="50" t="s">
        <v>370</v>
      </c>
      <c r="L14" s="212" t="s">
        <v>371</v>
      </c>
      <c r="M14" s="53" t="s">
        <v>383</v>
      </c>
      <c r="N14" s="49"/>
      <c r="O14" s="270"/>
      <c r="P14" s="49"/>
      <c r="Q14" s="49"/>
      <c r="R14" s="212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212"/>
      <c r="AE14" s="49"/>
      <c r="AF14" s="49"/>
      <c r="AG14" s="49"/>
      <c r="AH14" s="49"/>
      <c r="AI14" s="49"/>
      <c r="AJ14" s="49"/>
      <c r="AK14" s="49"/>
      <c r="AL14" s="49"/>
      <c r="AM14" s="49"/>
      <c r="AN14" s="212"/>
      <c r="AO14" s="53"/>
    </row>
    <row r="15" spans="1:41" x14ac:dyDescent="0.25">
      <c r="A15" s="55" t="s">
        <v>111</v>
      </c>
      <c r="B15" s="63" t="s">
        <v>218</v>
      </c>
      <c r="C15" s="54" t="s">
        <v>0</v>
      </c>
      <c r="D15" s="50">
        <v>6</v>
      </c>
      <c r="E15" s="50" t="s">
        <v>0</v>
      </c>
      <c r="F15" s="50" t="s">
        <v>0</v>
      </c>
      <c r="G15" s="50" t="s">
        <v>0</v>
      </c>
      <c r="H15" s="50" t="s">
        <v>0</v>
      </c>
      <c r="I15" s="211">
        <f t="shared" si="0"/>
        <v>50</v>
      </c>
      <c r="J15" s="212">
        <v>50</v>
      </c>
      <c r="K15" s="49">
        <v>0.5</v>
      </c>
      <c r="L15" s="212" t="s">
        <v>371</v>
      </c>
      <c r="M15" s="53" t="s">
        <v>383</v>
      </c>
      <c r="N15" s="152"/>
      <c r="O15" s="271"/>
      <c r="P15" s="49"/>
      <c r="Q15" s="152"/>
      <c r="R15" s="157"/>
      <c r="S15" s="152"/>
      <c r="T15" s="49"/>
      <c r="U15" s="49"/>
      <c r="V15" s="152"/>
      <c r="W15" s="49"/>
      <c r="X15" s="49"/>
      <c r="Y15" s="49"/>
      <c r="Z15" s="49"/>
      <c r="AA15" s="152"/>
      <c r="AB15" s="152"/>
      <c r="AC15" s="152"/>
      <c r="AD15" s="157"/>
      <c r="AE15" s="49"/>
      <c r="AF15" s="49"/>
      <c r="AG15" s="49"/>
      <c r="AH15" s="152"/>
      <c r="AI15" s="152"/>
      <c r="AJ15" s="152"/>
      <c r="AK15" s="49"/>
      <c r="AL15" s="152"/>
      <c r="AM15" s="49">
        <v>0.02</v>
      </c>
      <c r="AN15" s="157"/>
      <c r="AO15" s="158"/>
    </row>
    <row r="16" spans="1:41" x14ac:dyDescent="0.25">
      <c r="A16" s="55" t="s">
        <v>110</v>
      </c>
      <c r="B16" s="63" t="s">
        <v>219</v>
      </c>
      <c r="C16" s="54" t="s">
        <v>0</v>
      </c>
      <c r="D16" s="50">
        <v>6</v>
      </c>
      <c r="E16" s="50" t="s">
        <v>0</v>
      </c>
      <c r="F16" s="50" t="s">
        <v>0</v>
      </c>
      <c r="G16" s="50" t="s">
        <v>0</v>
      </c>
      <c r="H16" s="50" t="s">
        <v>0</v>
      </c>
      <c r="I16" s="211">
        <f t="shared" si="0"/>
        <v>50</v>
      </c>
      <c r="J16" s="212">
        <v>50</v>
      </c>
      <c r="K16" s="49">
        <v>2</v>
      </c>
      <c r="L16" s="212" t="s">
        <v>371</v>
      </c>
      <c r="M16" s="53" t="s">
        <v>383</v>
      </c>
      <c r="N16" s="152"/>
      <c r="O16" s="271"/>
      <c r="P16" s="49"/>
      <c r="Q16" s="152"/>
      <c r="R16" s="157"/>
      <c r="S16" s="152"/>
      <c r="T16" s="49"/>
      <c r="U16" s="49">
        <v>0.2</v>
      </c>
      <c r="V16" s="152"/>
      <c r="W16" s="49"/>
      <c r="X16" s="49"/>
      <c r="Y16" s="49">
        <v>0.01</v>
      </c>
      <c r="Z16" s="49"/>
      <c r="AA16" s="152"/>
      <c r="AB16" s="152"/>
      <c r="AC16" s="152"/>
      <c r="AD16" s="157"/>
      <c r="AE16" s="49"/>
      <c r="AF16" s="49"/>
      <c r="AG16" s="49">
        <v>0.01</v>
      </c>
      <c r="AH16" s="152"/>
      <c r="AI16" s="152"/>
      <c r="AJ16" s="152"/>
      <c r="AK16" s="49"/>
      <c r="AL16" s="152"/>
      <c r="AM16" s="49">
        <v>5.0000000000000001E-3</v>
      </c>
      <c r="AN16" s="157"/>
      <c r="AO16" s="158"/>
    </row>
    <row r="17" spans="1:41" x14ac:dyDescent="0.25">
      <c r="A17" s="55" t="s">
        <v>333</v>
      </c>
      <c r="B17" s="63" t="s">
        <v>220</v>
      </c>
      <c r="C17" s="54" t="s">
        <v>0</v>
      </c>
      <c r="D17" s="50">
        <v>6</v>
      </c>
      <c r="E17" s="50" t="s">
        <v>0</v>
      </c>
      <c r="F17" s="50" t="s">
        <v>0</v>
      </c>
      <c r="G17" s="50" t="s">
        <v>0</v>
      </c>
      <c r="H17" s="50" t="s">
        <v>0</v>
      </c>
      <c r="I17" s="211">
        <f t="shared" si="0"/>
        <v>50</v>
      </c>
      <c r="J17" s="212">
        <v>50</v>
      </c>
      <c r="K17" s="49">
        <v>2</v>
      </c>
      <c r="L17" s="212" t="s">
        <v>371</v>
      </c>
      <c r="M17" s="53" t="s">
        <v>383</v>
      </c>
      <c r="N17" s="152"/>
      <c r="O17" s="271"/>
      <c r="P17" s="49"/>
      <c r="Q17" s="152"/>
      <c r="R17" s="157"/>
      <c r="S17" s="152"/>
      <c r="T17" s="49"/>
      <c r="U17" s="49"/>
      <c r="V17" s="152"/>
      <c r="W17" s="49"/>
      <c r="X17" s="49"/>
      <c r="Y17" s="49"/>
      <c r="Z17" s="49"/>
      <c r="AA17" s="152"/>
      <c r="AB17" s="152"/>
      <c r="AC17" s="152"/>
      <c r="AD17" s="157"/>
      <c r="AE17" s="49">
        <v>5.0000000000000001E-3</v>
      </c>
      <c r="AF17" s="49"/>
      <c r="AG17" s="49"/>
      <c r="AH17" s="152"/>
      <c r="AI17" s="152"/>
      <c r="AJ17" s="152"/>
      <c r="AK17" s="49">
        <v>5.0000000000000001E-3</v>
      </c>
      <c r="AL17" s="152"/>
      <c r="AM17" s="49">
        <v>5.0000000000000001E-3</v>
      </c>
      <c r="AN17" s="157"/>
      <c r="AO17" s="158"/>
    </row>
    <row r="18" spans="1:41" x14ac:dyDescent="0.25">
      <c r="A18" s="55" t="s">
        <v>112</v>
      </c>
      <c r="B18" s="63" t="s">
        <v>221</v>
      </c>
      <c r="C18" s="54" t="s">
        <v>0</v>
      </c>
      <c r="D18" s="50">
        <v>6</v>
      </c>
      <c r="E18" s="50" t="s">
        <v>0</v>
      </c>
      <c r="F18" s="50" t="s">
        <v>0</v>
      </c>
      <c r="G18" s="50" t="s">
        <v>0</v>
      </c>
      <c r="H18" s="50" t="s">
        <v>0</v>
      </c>
      <c r="I18" s="211">
        <f t="shared" si="0"/>
        <v>50</v>
      </c>
      <c r="J18" s="212">
        <v>50</v>
      </c>
      <c r="K18" s="49">
        <v>0.5</v>
      </c>
      <c r="L18" s="212" t="s">
        <v>371</v>
      </c>
      <c r="M18" s="53" t="s">
        <v>383</v>
      </c>
      <c r="N18" s="152"/>
      <c r="O18" s="271"/>
      <c r="P18" s="49"/>
      <c r="Q18" s="152"/>
      <c r="R18" s="157"/>
      <c r="S18" s="152"/>
      <c r="T18" s="49"/>
      <c r="U18" s="49"/>
      <c r="V18" s="152"/>
      <c r="W18" s="49"/>
      <c r="X18" s="49"/>
      <c r="Y18" s="49"/>
      <c r="Z18" s="49"/>
      <c r="AA18" s="152"/>
      <c r="AB18" s="152"/>
      <c r="AC18" s="152"/>
      <c r="AD18" s="157"/>
      <c r="AE18" s="49">
        <v>0.02</v>
      </c>
      <c r="AF18" s="49"/>
      <c r="AG18" s="49"/>
      <c r="AH18" s="152"/>
      <c r="AI18" s="152"/>
      <c r="AJ18" s="152"/>
      <c r="AK18" s="49">
        <v>0.02</v>
      </c>
      <c r="AL18" s="152"/>
      <c r="AM18" s="49">
        <v>0.02</v>
      </c>
      <c r="AN18" s="157"/>
      <c r="AO18" s="158"/>
    </row>
    <row r="19" spans="1:41" x14ac:dyDescent="0.25">
      <c r="A19" s="55" t="s">
        <v>211</v>
      </c>
      <c r="B19" s="63" t="s">
        <v>227</v>
      </c>
      <c r="C19" s="54" t="s">
        <v>0</v>
      </c>
      <c r="D19" s="50">
        <v>6</v>
      </c>
      <c r="E19" s="50" t="s">
        <v>0</v>
      </c>
      <c r="F19" s="50" t="s">
        <v>0</v>
      </c>
      <c r="G19" s="50" t="s">
        <v>0</v>
      </c>
      <c r="H19" s="50" t="s">
        <v>0</v>
      </c>
      <c r="I19" s="211">
        <f t="shared" si="0"/>
        <v>50</v>
      </c>
      <c r="J19" s="212">
        <v>50</v>
      </c>
      <c r="K19" s="49">
        <v>0.5</v>
      </c>
      <c r="L19" s="212" t="s">
        <v>371</v>
      </c>
      <c r="M19" s="53" t="s">
        <v>383</v>
      </c>
      <c r="N19" s="49"/>
      <c r="O19" s="270"/>
      <c r="P19" s="49"/>
      <c r="Q19" s="49"/>
      <c r="R19" s="212"/>
      <c r="S19" s="49"/>
      <c r="T19" s="49"/>
      <c r="U19" s="49">
        <v>0.2</v>
      </c>
      <c r="V19" s="49"/>
      <c r="W19" s="49"/>
      <c r="X19" s="49"/>
      <c r="Y19" s="49"/>
      <c r="Z19" s="49"/>
      <c r="AA19" s="49"/>
      <c r="AB19" s="49"/>
      <c r="AC19" s="49"/>
      <c r="AD19" s="212"/>
      <c r="AE19" s="49"/>
      <c r="AF19" s="49"/>
      <c r="AG19" s="49"/>
      <c r="AH19" s="49"/>
      <c r="AI19" s="49"/>
      <c r="AJ19" s="49"/>
      <c r="AK19" s="49"/>
      <c r="AL19" s="49"/>
      <c r="AM19" s="49">
        <v>0.02</v>
      </c>
      <c r="AN19" s="212"/>
      <c r="AO19" s="53"/>
    </row>
    <row r="20" spans="1:41" x14ac:dyDescent="0.25">
      <c r="A20" s="55" t="s">
        <v>114</v>
      </c>
      <c r="B20" s="63" t="s">
        <v>222</v>
      </c>
      <c r="C20" s="54" t="s">
        <v>0</v>
      </c>
      <c r="D20" s="50">
        <v>6</v>
      </c>
      <c r="E20" s="50">
        <v>0.25</v>
      </c>
      <c r="F20" s="50" t="s">
        <v>0</v>
      </c>
      <c r="G20" s="49">
        <v>1</v>
      </c>
      <c r="H20" s="50" t="s">
        <v>0</v>
      </c>
      <c r="I20" s="211">
        <f t="shared" si="0"/>
        <v>50</v>
      </c>
      <c r="J20" s="212">
        <v>50</v>
      </c>
      <c r="K20" s="49">
        <v>0.4</v>
      </c>
      <c r="L20" s="212" t="s">
        <v>371</v>
      </c>
      <c r="M20" s="53" t="s">
        <v>395</v>
      </c>
      <c r="N20" s="152"/>
      <c r="O20" s="271"/>
      <c r="P20" s="49"/>
      <c r="Q20" s="152"/>
      <c r="R20" s="157"/>
      <c r="S20" s="152"/>
      <c r="T20" s="49"/>
      <c r="U20" s="49"/>
      <c r="V20" s="152"/>
      <c r="W20" s="49"/>
      <c r="X20" s="49"/>
      <c r="Y20" s="49"/>
      <c r="Z20" s="49"/>
      <c r="AA20" s="152"/>
      <c r="AB20" s="152"/>
      <c r="AC20" s="152"/>
      <c r="AD20" s="157"/>
      <c r="AE20" s="49"/>
      <c r="AF20" s="49">
        <v>10</v>
      </c>
      <c r="AG20" s="49"/>
      <c r="AH20" s="152"/>
      <c r="AI20" s="152"/>
      <c r="AJ20" s="152"/>
      <c r="AK20" s="49"/>
      <c r="AL20" s="152"/>
      <c r="AM20" s="49">
        <v>0.02</v>
      </c>
      <c r="AN20" s="157"/>
      <c r="AO20" s="158"/>
    </row>
    <row r="21" spans="1:41" x14ac:dyDescent="0.25">
      <c r="A21" s="55" t="s">
        <v>113</v>
      </c>
      <c r="B21" s="63" t="s">
        <v>223</v>
      </c>
      <c r="C21" s="54" t="s">
        <v>0</v>
      </c>
      <c r="D21" s="50">
        <v>6</v>
      </c>
      <c r="E21" s="50">
        <v>0.25</v>
      </c>
      <c r="F21" s="50" t="s">
        <v>0</v>
      </c>
      <c r="G21" s="49">
        <v>1</v>
      </c>
      <c r="H21" s="50" t="s">
        <v>0</v>
      </c>
      <c r="I21" s="211">
        <f t="shared" si="0"/>
        <v>50</v>
      </c>
      <c r="J21" s="212">
        <v>50</v>
      </c>
      <c r="K21" s="49">
        <v>0.5</v>
      </c>
      <c r="L21" s="212" t="s">
        <v>371</v>
      </c>
      <c r="M21" s="53" t="s">
        <v>383</v>
      </c>
      <c r="N21" s="152"/>
      <c r="O21" s="271"/>
      <c r="P21" s="49"/>
      <c r="Q21" s="152"/>
      <c r="R21" s="157"/>
      <c r="S21" s="152"/>
      <c r="T21" s="49"/>
      <c r="U21" s="49"/>
      <c r="V21" s="152"/>
      <c r="W21" s="49"/>
      <c r="X21" s="49"/>
      <c r="Y21" s="49"/>
      <c r="Z21" s="49"/>
      <c r="AA21" s="152"/>
      <c r="AB21" s="152"/>
      <c r="AC21" s="152"/>
      <c r="AD21" s="157"/>
      <c r="AE21" s="49"/>
      <c r="AF21" s="49">
        <v>5</v>
      </c>
      <c r="AG21" s="49"/>
      <c r="AH21" s="152"/>
      <c r="AI21" s="152"/>
      <c r="AJ21" s="152"/>
      <c r="AK21" s="49"/>
      <c r="AL21" s="152"/>
      <c r="AM21" s="49">
        <v>0.02</v>
      </c>
      <c r="AN21" s="157"/>
      <c r="AO21" s="158"/>
    </row>
    <row r="22" spans="1:41" x14ac:dyDescent="0.25">
      <c r="A22" s="55" t="s">
        <v>115</v>
      </c>
      <c r="B22" s="63" t="s">
        <v>224</v>
      </c>
      <c r="C22" s="54" t="s">
        <v>0</v>
      </c>
      <c r="D22" s="50">
        <v>6</v>
      </c>
      <c r="E22" s="50" t="s">
        <v>0</v>
      </c>
      <c r="F22" s="50" t="s">
        <v>0</v>
      </c>
      <c r="G22" s="50" t="s">
        <v>0</v>
      </c>
      <c r="H22" s="50" t="s">
        <v>0</v>
      </c>
      <c r="I22" s="211">
        <f t="shared" si="0"/>
        <v>50</v>
      </c>
      <c r="J22" s="212">
        <v>50</v>
      </c>
      <c r="K22" s="49">
        <v>0.5</v>
      </c>
      <c r="L22" s="212" t="s">
        <v>371</v>
      </c>
      <c r="M22" s="53" t="s">
        <v>383</v>
      </c>
      <c r="N22" s="152"/>
      <c r="O22" s="271"/>
      <c r="P22" s="49"/>
      <c r="Q22" s="152"/>
      <c r="R22" s="157"/>
      <c r="S22" s="152"/>
      <c r="T22" s="49"/>
      <c r="U22" s="49"/>
      <c r="V22" s="152"/>
      <c r="W22" s="49"/>
      <c r="X22" s="49"/>
      <c r="Y22" s="49">
        <v>0.02</v>
      </c>
      <c r="Z22" s="49"/>
      <c r="AA22" s="152"/>
      <c r="AB22" s="152"/>
      <c r="AC22" s="152"/>
      <c r="AD22" s="157"/>
      <c r="AE22" s="49">
        <v>0.02</v>
      </c>
      <c r="AF22" s="49"/>
      <c r="AG22" s="49"/>
      <c r="AH22" s="152"/>
      <c r="AI22" s="152"/>
      <c r="AJ22" s="152"/>
      <c r="AK22" s="49">
        <v>0.02</v>
      </c>
      <c r="AL22" s="152"/>
      <c r="AM22" s="49">
        <v>0.02</v>
      </c>
      <c r="AN22" s="157"/>
      <c r="AO22" s="158"/>
    </row>
    <row r="23" spans="1:41" x14ac:dyDescent="0.25">
      <c r="A23" s="55" t="s">
        <v>117</v>
      </c>
      <c r="B23" s="63" t="s">
        <v>225</v>
      </c>
      <c r="C23" s="54" t="s">
        <v>0</v>
      </c>
      <c r="D23" s="50">
        <v>6</v>
      </c>
      <c r="E23" s="50" t="s">
        <v>0</v>
      </c>
      <c r="F23" s="50" t="s">
        <v>0</v>
      </c>
      <c r="G23" s="50" t="s">
        <v>0</v>
      </c>
      <c r="H23" s="50" t="s">
        <v>0</v>
      </c>
      <c r="I23" s="211">
        <f t="shared" si="0"/>
        <v>50</v>
      </c>
      <c r="J23" s="212">
        <v>50</v>
      </c>
      <c r="K23" s="49">
        <v>0.5</v>
      </c>
      <c r="L23" s="212" t="s">
        <v>371</v>
      </c>
      <c r="M23" s="53" t="s">
        <v>383</v>
      </c>
      <c r="N23" s="298"/>
      <c r="O23" s="314"/>
      <c r="P23" s="298"/>
      <c r="Q23" s="298"/>
      <c r="R23" s="315"/>
      <c r="S23" s="298"/>
      <c r="T23" s="298"/>
      <c r="U23" s="298">
        <v>0.05</v>
      </c>
      <c r="V23" s="298"/>
      <c r="W23" s="298"/>
      <c r="X23" s="298"/>
      <c r="Y23" s="298">
        <v>0.05</v>
      </c>
      <c r="Z23" s="298"/>
      <c r="AA23" s="298"/>
      <c r="AB23" s="298"/>
      <c r="AC23" s="298">
        <v>0.05</v>
      </c>
      <c r="AD23" s="315">
        <v>0.05</v>
      </c>
      <c r="AE23" s="298">
        <v>0.05</v>
      </c>
      <c r="AF23" s="298">
        <v>0.05</v>
      </c>
      <c r="AG23" s="298">
        <v>0.05</v>
      </c>
      <c r="AH23" s="298"/>
      <c r="AI23" s="298"/>
      <c r="AJ23" s="298"/>
      <c r="AK23" s="298">
        <v>0.05</v>
      </c>
      <c r="AL23" s="298"/>
      <c r="AM23" s="298">
        <v>0.05</v>
      </c>
      <c r="AN23" s="315">
        <v>0.05</v>
      </c>
      <c r="AO23" s="316"/>
    </row>
    <row r="24" spans="1:41" x14ac:dyDescent="0.25">
      <c r="A24" s="55" t="s">
        <v>116</v>
      </c>
      <c r="B24" s="63" t="s">
        <v>226</v>
      </c>
      <c r="C24" s="52">
        <v>2.5</v>
      </c>
      <c r="D24" s="50" t="s">
        <v>0</v>
      </c>
      <c r="E24" s="50" t="s">
        <v>0</v>
      </c>
      <c r="F24" s="50" t="s">
        <v>0</v>
      </c>
      <c r="G24" s="50" t="s">
        <v>0</v>
      </c>
      <c r="H24" s="50" t="s">
        <v>0</v>
      </c>
      <c r="I24" s="211">
        <f t="shared" si="0"/>
        <v>25</v>
      </c>
      <c r="J24" s="212">
        <v>25</v>
      </c>
      <c r="K24" s="49">
        <v>10</v>
      </c>
      <c r="L24" s="212" t="s">
        <v>371</v>
      </c>
      <c r="M24" s="53" t="s">
        <v>383</v>
      </c>
      <c r="N24" s="49"/>
      <c r="O24" s="270"/>
      <c r="P24" s="49"/>
      <c r="Q24" s="49"/>
      <c r="R24" s="212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212"/>
      <c r="AE24" s="49"/>
      <c r="AF24" s="49"/>
      <c r="AG24" s="49"/>
      <c r="AH24" s="49"/>
      <c r="AI24" s="49"/>
      <c r="AJ24" s="49"/>
      <c r="AK24" s="49"/>
      <c r="AL24" s="49"/>
      <c r="AM24" s="49"/>
      <c r="AN24" s="212"/>
      <c r="AO24" s="53"/>
    </row>
    <row r="25" spans="1:41" x14ac:dyDescent="0.25">
      <c r="A25" s="55" t="s">
        <v>118</v>
      </c>
      <c r="B25" s="63" t="s">
        <v>255</v>
      </c>
      <c r="C25" s="54" t="s">
        <v>0</v>
      </c>
      <c r="D25" s="50">
        <v>4</v>
      </c>
      <c r="E25" s="50" t="s">
        <v>0</v>
      </c>
      <c r="F25" s="50" t="s">
        <v>0</v>
      </c>
      <c r="G25" s="50" t="s">
        <v>0</v>
      </c>
      <c r="H25" s="50" t="s">
        <v>0</v>
      </c>
      <c r="I25" s="211">
        <f t="shared" si="0"/>
        <v>20</v>
      </c>
      <c r="J25" s="212">
        <v>20</v>
      </c>
      <c r="K25" s="49">
        <v>1.2</v>
      </c>
      <c r="L25" s="212" t="s">
        <v>371</v>
      </c>
      <c r="M25" s="53" t="s">
        <v>383</v>
      </c>
      <c r="N25" s="49"/>
      <c r="O25" s="270"/>
      <c r="P25" s="49"/>
      <c r="Q25" s="49"/>
      <c r="R25" s="212"/>
      <c r="S25" s="49"/>
      <c r="T25" s="49"/>
      <c r="U25" s="49"/>
      <c r="V25" s="49"/>
      <c r="W25" s="49"/>
      <c r="X25" s="49"/>
      <c r="Y25" s="49">
        <v>3.5000000000000001E-3</v>
      </c>
      <c r="Z25" s="49"/>
      <c r="AA25" s="49"/>
      <c r="AB25" s="49"/>
      <c r="AC25" s="49"/>
      <c r="AD25" s="212"/>
      <c r="AE25" s="49"/>
      <c r="AF25" s="49"/>
      <c r="AG25" s="49"/>
      <c r="AH25" s="49"/>
      <c r="AI25" s="49"/>
      <c r="AJ25" s="49"/>
      <c r="AK25" s="49"/>
      <c r="AL25" s="49"/>
      <c r="AM25" s="49"/>
      <c r="AN25" s="212"/>
      <c r="AO25" s="53"/>
    </row>
    <row r="26" spans="1:41" x14ac:dyDescent="0.25">
      <c r="A26" s="55" t="s">
        <v>424</v>
      </c>
      <c r="B26" s="63" t="s">
        <v>362</v>
      </c>
      <c r="C26" s="54" t="s">
        <v>0</v>
      </c>
      <c r="D26" s="50">
        <v>3</v>
      </c>
      <c r="E26" s="50">
        <v>9</v>
      </c>
      <c r="F26" s="50" t="s">
        <v>0</v>
      </c>
      <c r="G26" s="50" t="s">
        <v>0</v>
      </c>
      <c r="H26" s="50" t="s">
        <v>0</v>
      </c>
      <c r="I26" s="211">
        <f t="shared" si="0"/>
        <v>50</v>
      </c>
      <c r="J26" s="212">
        <v>50</v>
      </c>
      <c r="K26" s="49">
        <v>0.25</v>
      </c>
      <c r="L26" s="212" t="s">
        <v>371</v>
      </c>
      <c r="M26" s="53" t="s">
        <v>383</v>
      </c>
      <c r="N26" s="227"/>
      <c r="O26" s="272"/>
      <c r="P26" s="49"/>
      <c r="Q26" s="213"/>
      <c r="R26" s="228"/>
      <c r="S26" s="213"/>
      <c r="T26" s="49"/>
      <c r="U26" s="49"/>
      <c r="V26" s="227"/>
      <c r="W26" s="49"/>
      <c r="X26" s="49"/>
      <c r="Y26" s="49"/>
      <c r="Z26" s="49"/>
      <c r="AA26" s="213"/>
      <c r="AB26" s="213"/>
      <c r="AC26" s="213"/>
      <c r="AD26" s="228"/>
      <c r="AE26" s="49"/>
      <c r="AF26" s="49"/>
      <c r="AG26" s="49">
        <v>0.01</v>
      </c>
      <c r="AH26" s="227"/>
      <c r="AI26" s="213"/>
      <c r="AJ26" s="227"/>
      <c r="AK26" s="49"/>
      <c r="AL26" s="227"/>
      <c r="AM26" s="49">
        <v>0.01</v>
      </c>
      <c r="AN26" s="228"/>
      <c r="AO26" s="229"/>
    </row>
    <row r="27" spans="1:41" x14ac:dyDescent="0.25">
      <c r="A27" s="55" t="s">
        <v>250</v>
      </c>
      <c r="B27" s="63" t="s">
        <v>245</v>
      </c>
      <c r="C27" s="54" t="s">
        <v>0</v>
      </c>
      <c r="D27" s="49">
        <v>6</v>
      </c>
      <c r="E27" s="50" t="s">
        <v>0</v>
      </c>
      <c r="F27" s="50" t="s">
        <v>0</v>
      </c>
      <c r="G27" s="49" t="s">
        <v>97</v>
      </c>
      <c r="H27" s="50" t="s">
        <v>0</v>
      </c>
      <c r="I27" s="211">
        <f t="shared" si="0"/>
        <v>50</v>
      </c>
      <c r="J27" s="212">
        <v>50</v>
      </c>
      <c r="K27" s="49">
        <v>0.5</v>
      </c>
      <c r="L27" s="212" t="s">
        <v>371</v>
      </c>
      <c r="M27" s="53" t="s">
        <v>383</v>
      </c>
      <c r="N27" s="49"/>
      <c r="O27" s="270"/>
      <c r="P27" s="49"/>
      <c r="Q27" s="49"/>
      <c r="R27" s="212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212"/>
      <c r="AE27" s="49">
        <v>0.02</v>
      </c>
      <c r="AF27" s="49"/>
      <c r="AG27" s="49"/>
      <c r="AH27" s="49"/>
      <c r="AI27" s="49"/>
      <c r="AJ27" s="49"/>
      <c r="AK27" s="49"/>
      <c r="AL27" s="49"/>
      <c r="AM27" s="49">
        <v>0.02</v>
      </c>
      <c r="AN27" s="212"/>
      <c r="AO27" s="53"/>
    </row>
    <row r="28" spans="1:41" x14ac:dyDescent="0.25">
      <c r="A28" s="55" t="s">
        <v>251</v>
      </c>
      <c r="B28" s="63" t="s">
        <v>246</v>
      </c>
      <c r="C28" s="54" t="s">
        <v>0</v>
      </c>
      <c r="D28" s="49">
        <v>6</v>
      </c>
      <c r="E28" s="50" t="s">
        <v>0</v>
      </c>
      <c r="F28" s="50" t="s">
        <v>0</v>
      </c>
      <c r="G28" s="49" t="s">
        <v>97</v>
      </c>
      <c r="H28" s="50" t="s">
        <v>0</v>
      </c>
      <c r="I28" s="211">
        <f t="shared" si="0"/>
        <v>50</v>
      </c>
      <c r="J28" s="212">
        <v>50</v>
      </c>
      <c r="K28" s="49">
        <v>0.5</v>
      </c>
      <c r="L28" s="212" t="s">
        <v>371</v>
      </c>
      <c r="M28" s="53" t="s">
        <v>383</v>
      </c>
      <c r="N28" s="49"/>
      <c r="O28" s="270"/>
      <c r="P28" s="49"/>
      <c r="Q28" s="49"/>
      <c r="R28" s="212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212"/>
      <c r="AE28" s="49">
        <v>0.02</v>
      </c>
      <c r="AF28" s="49"/>
      <c r="AG28" s="49"/>
      <c r="AH28" s="49"/>
      <c r="AI28" s="49"/>
      <c r="AJ28" s="49"/>
      <c r="AK28" s="49"/>
      <c r="AL28" s="49"/>
      <c r="AM28" s="49">
        <v>0.02</v>
      </c>
      <c r="AN28" s="212"/>
      <c r="AO28" s="53"/>
    </row>
    <row r="29" spans="1:41" x14ac:dyDescent="0.25">
      <c r="A29" s="55" t="s">
        <v>252</v>
      </c>
      <c r="B29" s="63" t="s">
        <v>247</v>
      </c>
      <c r="C29" s="54" t="s">
        <v>0</v>
      </c>
      <c r="D29" s="49">
        <v>6</v>
      </c>
      <c r="E29" s="50" t="s">
        <v>0</v>
      </c>
      <c r="F29" s="50" t="s">
        <v>0</v>
      </c>
      <c r="G29" s="49" t="s">
        <v>97</v>
      </c>
      <c r="H29" s="50" t="s">
        <v>0</v>
      </c>
      <c r="I29" s="211">
        <f t="shared" si="0"/>
        <v>50</v>
      </c>
      <c r="J29" s="212">
        <v>50</v>
      </c>
      <c r="K29" s="49">
        <v>0.5</v>
      </c>
      <c r="L29" s="212" t="s">
        <v>371</v>
      </c>
      <c r="M29" s="53" t="s">
        <v>383</v>
      </c>
      <c r="N29" s="49"/>
      <c r="O29" s="270"/>
      <c r="P29" s="49"/>
      <c r="Q29" s="49"/>
      <c r="R29" s="212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212"/>
      <c r="AE29" s="49"/>
      <c r="AF29" s="49"/>
      <c r="AG29" s="49"/>
      <c r="AH29" s="49"/>
      <c r="AI29" s="49"/>
      <c r="AJ29" s="49"/>
      <c r="AK29" s="49"/>
      <c r="AL29" s="49"/>
      <c r="AM29" s="49">
        <v>0.02</v>
      </c>
      <c r="AN29" s="212"/>
      <c r="AO29" s="53"/>
    </row>
    <row r="30" spans="1:41" x14ac:dyDescent="0.25">
      <c r="A30" s="55" t="s">
        <v>437</v>
      </c>
      <c r="B30" s="63" t="s">
        <v>248</v>
      </c>
      <c r="C30" s="54" t="s">
        <v>0</v>
      </c>
      <c r="D30" s="49">
        <v>10</v>
      </c>
      <c r="E30" s="50" t="s">
        <v>0</v>
      </c>
      <c r="F30" s="50" t="s">
        <v>0</v>
      </c>
      <c r="G30" s="49">
        <v>1</v>
      </c>
      <c r="H30" s="50" t="s">
        <v>0</v>
      </c>
      <c r="I30" s="211">
        <f t="shared" si="0"/>
        <v>50</v>
      </c>
      <c r="J30" s="212">
        <v>50</v>
      </c>
      <c r="K30" s="49">
        <v>0.4</v>
      </c>
      <c r="L30" s="212" t="s">
        <v>371</v>
      </c>
      <c r="M30" s="53" t="s">
        <v>395</v>
      </c>
      <c r="N30" s="49"/>
      <c r="O30" s="270"/>
      <c r="P30" s="49"/>
      <c r="Q30" s="49"/>
      <c r="R30" s="212"/>
      <c r="S30" s="49"/>
      <c r="T30" s="49"/>
      <c r="U30" s="49"/>
      <c r="V30" s="49"/>
      <c r="W30" s="49"/>
      <c r="X30" s="49"/>
      <c r="Y30" s="49">
        <v>2.5000000000000001E-2</v>
      </c>
      <c r="Z30" s="49"/>
      <c r="AA30" s="49"/>
      <c r="AB30" s="49"/>
      <c r="AC30" s="49"/>
      <c r="AD30" s="212"/>
      <c r="AE30" s="49"/>
      <c r="AF30" s="49"/>
      <c r="AG30" s="49"/>
      <c r="AH30" s="49"/>
      <c r="AI30" s="49"/>
      <c r="AJ30" s="49"/>
      <c r="AK30" s="49">
        <v>2.5000000000000001E-2</v>
      </c>
      <c r="AL30" s="49"/>
      <c r="AM30" s="49">
        <v>2.5000000000000001E-2</v>
      </c>
      <c r="AN30" s="212"/>
      <c r="AO30" s="53"/>
    </row>
    <row r="31" spans="1:41" x14ac:dyDescent="0.25">
      <c r="A31" s="55" t="s">
        <v>438</v>
      </c>
      <c r="B31" s="63" t="s">
        <v>436</v>
      </c>
      <c r="C31" s="54" t="s">
        <v>0</v>
      </c>
      <c r="D31" s="49">
        <v>10</v>
      </c>
      <c r="E31" s="50" t="s">
        <v>0</v>
      </c>
      <c r="F31" s="50" t="s">
        <v>0</v>
      </c>
      <c r="G31" s="49">
        <v>1</v>
      </c>
      <c r="H31" s="50" t="s">
        <v>0</v>
      </c>
      <c r="I31" s="211">
        <f t="shared" si="0"/>
        <v>50</v>
      </c>
      <c r="J31" s="212">
        <v>50</v>
      </c>
      <c r="K31" s="49">
        <v>0.5</v>
      </c>
      <c r="L31" s="212" t="s">
        <v>371</v>
      </c>
      <c r="M31" s="53" t="s">
        <v>395</v>
      </c>
      <c r="N31" s="49"/>
      <c r="O31" s="270"/>
      <c r="P31" s="49"/>
      <c r="Q31" s="49"/>
      <c r="R31" s="212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212"/>
      <c r="AE31" s="49">
        <v>0.02</v>
      </c>
      <c r="AF31" s="49"/>
      <c r="AG31" s="49"/>
      <c r="AH31" s="49"/>
      <c r="AI31" s="49"/>
      <c r="AJ31" s="49"/>
      <c r="AK31" s="49"/>
      <c r="AL31" s="49"/>
      <c r="AM31" s="49"/>
      <c r="AN31" s="212"/>
      <c r="AO31" s="53"/>
    </row>
    <row r="32" spans="1:41" x14ac:dyDescent="0.25">
      <c r="A32" s="55" t="s">
        <v>334</v>
      </c>
      <c r="B32" s="63" t="s">
        <v>254</v>
      </c>
      <c r="C32" s="54" t="s">
        <v>0</v>
      </c>
      <c r="D32" s="50">
        <v>6</v>
      </c>
      <c r="E32" s="49" t="s">
        <v>97</v>
      </c>
      <c r="F32" s="49" t="s">
        <v>97</v>
      </c>
      <c r="G32" s="49" t="s">
        <v>97</v>
      </c>
      <c r="H32" s="49">
        <v>2</v>
      </c>
      <c r="I32" s="211">
        <f t="shared" si="0"/>
        <v>20</v>
      </c>
      <c r="J32" s="212">
        <v>20</v>
      </c>
      <c r="K32" s="49">
        <v>0.5</v>
      </c>
      <c r="L32" s="212" t="s">
        <v>371</v>
      </c>
      <c r="M32" s="53" t="s">
        <v>383</v>
      </c>
      <c r="N32" s="153"/>
      <c r="O32" s="271"/>
      <c r="P32" s="49"/>
      <c r="Q32" s="152"/>
      <c r="R32" s="154"/>
      <c r="S32" s="152"/>
      <c r="T32" s="49"/>
      <c r="U32" s="49"/>
      <c r="V32" s="153"/>
      <c r="W32" s="49"/>
      <c r="X32" s="49"/>
      <c r="Y32" s="49"/>
      <c r="Z32" s="49"/>
      <c r="AA32" s="152"/>
      <c r="AB32" s="152"/>
      <c r="AC32" s="152"/>
      <c r="AD32" s="154"/>
      <c r="AE32" s="49">
        <v>4.0000000000000001E-3</v>
      </c>
      <c r="AF32" s="49"/>
      <c r="AG32" s="49"/>
      <c r="AH32" s="153"/>
      <c r="AI32" s="152"/>
      <c r="AJ32" s="153"/>
      <c r="AK32" s="49"/>
      <c r="AL32" s="153"/>
      <c r="AM32" s="49">
        <v>8.0000000000000002E-3</v>
      </c>
      <c r="AN32" s="154"/>
      <c r="AO32" s="155"/>
    </row>
    <row r="33" spans="1:41" x14ac:dyDescent="0.25">
      <c r="A33" s="256" t="s">
        <v>335</v>
      </c>
      <c r="B33" s="257" t="s">
        <v>253</v>
      </c>
      <c r="C33" s="258" t="s">
        <v>0</v>
      </c>
      <c r="D33" s="259">
        <v>6</v>
      </c>
      <c r="E33" s="260" t="s">
        <v>97</v>
      </c>
      <c r="F33" s="260" t="s">
        <v>97</v>
      </c>
      <c r="G33" s="260" t="s">
        <v>97</v>
      </c>
      <c r="H33" s="259" t="s">
        <v>0</v>
      </c>
      <c r="I33" s="211">
        <f t="shared" si="0"/>
        <v>20</v>
      </c>
      <c r="J33" s="267">
        <v>20</v>
      </c>
      <c r="K33" s="49">
        <v>2</v>
      </c>
      <c r="L33" s="212" t="s">
        <v>371</v>
      </c>
      <c r="M33" s="53" t="s">
        <v>383</v>
      </c>
      <c r="N33" s="261"/>
      <c r="O33" s="273"/>
      <c r="P33" s="260"/>
      <c r="Q33" s="261"/>
      <c r="R33" s="262"/>
      <c r="S33" s="261"/>
      <c r="T33" s="260"/>
      <c r="U33" s="260"/>
      <c r="V33" s="261"/>
      <c r="W33" s="260"/>
      <c r="X33" s="260"/>
      <c r="Y33" s="260"/>
      <c r="Z33" s="260"/>
      <c r="AA33" s="261"/>
      <c r="AB33" s="261"/>
      <c r="AC33" s="261"/>
      <c r="AD33" s="262"/>
      <c r="AE33" s="260">
        <v>1E-3</v>
      </c>
      <c r="AF33" s="260"/>
      <c r="AG33" s="260"/>
      <c r="AH33" s="261"/>
      <c r="AI33" s="261"/>
      <c r="AJ33" s="261"/>
      <c r="AK33" s="260"/>
      <c r="AL33" s="261"/>
      <c r="AM33" s="260">
        <v>2E-3</v>
      </c>
      <c r="AN33" s="262"/>
      <c r="AO33" s="263"/>
    </row>
    <row r="34" spans="1:41" x14ac:dyDescent="0.25">
      <c r="A34" s="256" t="s">
        <v>425</v>
      </c>
      <c r="B34" s="257" t="s">
        <v>366</v>
      </c>
      <c r="C34" s="258" t="s">
        <v>0</v>
      </c>
      <c r="D34" s="259">
        <v>10</v>
      </c>
      <c r="E34" s="260" t="s">
        <v>0</v>
      </c>
      <c r="F34" s="260" t="s">
        <v>0</v>
      </c>
      <c r="G34" s="260" t="s">
        <v>0</v>
      </c>
      <c r="H34" s="259" t="s">
        <v>0</v>
      </c>
      <c r="I34" s="211">
        <f t="shared" si="0"/>
        <v>25</v>
      </c>
      <c r="J34" s="267">
        <v>25</v>
      </c>
      <c r="K34" s="260">
        <v>0.5</v>
      </c>
      <c r="L34" s="267" t="s">
        <v>371</v>
      </c>
      <c r="M34" s="310" t="s">
        <v>383</v>
      </c>
      <c r="N34" s="261"/>
      <c r="O34" s="273"/>
      <c r="P34" s="260"/>
      <c r="Q34" s="261"/>
      <c r="R34" s="262">
        <v>0.1</v>
      </c>
      <c r="S34" s="261"/>
      <c r="T34" s="260"/>
      <c r="U34" s="260"/>
      <c r="V34" s="261"/>
      <c r="W34" s="260"/>
      <c r="X34" s="260"/>
      <c r="Y34" s="260">
        <v>0.1</v>
      </c>
      <c r="Z34" s="260"/>
      <c r="AA34" s="261"/>
      <c r="AB34" s="261"/>
      <c r="AC34" s="261"/>
      <c r="AD34" s="262"/>
      <c r="AE34" s="260">
        <v>0.1</v>
      </c>
      <c r="AF34" s="260"/>
      <c r="AG34" s="260"/>
      <c r="AH34" s="261"/>
      <c r="AI34" s="261"/>
      <c r="AJ34" s="261"/>
      <c r="AK34" s="260">
        <v>0.1</v>
      </c>
      <c r="AL34" s="261"/>
      <c r="AM34" s="260">
        <v>0.1</v>
      </c>
      <c r="AN34" s="262"/>
      <c r="AO34" s="263"/>
    </row>
    <row r="35" spans="1:41" x14ac:dyDescent="0.25">
      <c r="A35" s="256" t="s">
        <v>452</v>
      </c>
      <c r="B35" s="63" t="s">
        <v>451</v>
      </c>
      <c r="C35" s="54" t="s">
        <v>0</v>
      </c>
      <c r="D35" s="50">
        <v>10</v>
      </c>
      <c r="E35" s="50" t="s">
        <v>0</v>
      </c>
      <c r="F35" s="50" t="s">
        <v>0</v>
      </c>
      <c r="G35" s="50" t="s">
        <v>0</v>
      </c>
      <c r="H35" s="50" t="s">
        <v>0</v>
      </c>
      <c r="I35" s="50">
        <v>25</v>
      </c>
      <c r="J35" s="212">
        <v>25</v>
      </c>
      <c r="K35" s="49">
        <v>0.5</v>
      </c>
      <c r="L35" s="212" t="s">
        <v>371</v>
      </c>
      <c r="M35" s="310" t="s">
        <v>383</v>
      </c>
      <c r="N35" s="49"/>
      <c r="O35" s="270"/>
      <c r="P35" s="49"/>
      <c r="Q35" s="49"/>
      <c r="R35" s="212"/>
      <c r="S35" s="49"/>
      <c r="T35" s="49"/>
      <c r="U35" s="49"/>
      <c r="V35" s="49"/>
      <c r="W35" s="49"/>
      <c r="X35" s="49"/>
      <c r="Y35" s="49">
        <v>0.1</v>
      </c>
      <c r="Z35" s="49"/>
      <c r="AA35" s="49"/>
      <c r="AB35" s="49"/>
      <c r="AC35" s="49"/>
      <c r="AD35" s="212"/>
      <c r="AE35" s="49">
        <v>0.1</v>
      </c>
      <c r="AF35" s="49"/>
      <c r="AG35" s="49"/>
      <c r="AH35" s="49"/>
      <c r="AI35" s="49"/>
      <c r="AJ35" s="49"/>
      <c r="AK35" s="49">
        <v>0.1</v>
      </c>
      <c r="AL35" s="49"/>
      <c r="AM35" s="49">
        <v>0.1</v>
      </c>
      <c r="AN35" s="212"/>
      <c r="AO35" s="53"/>
    </row>
    <row r="36" spans="1:41" x14ac:dyDescent="0.25">
      <c r="A36" s="55"/>
      <c r="B36" s="63"/>
      <c r="C36" s="54"/>
      <c r="D36" s="50"/>
      <c r="E36" s="50"/>
      <c r="F36" s="50"/>
      <c r="G36" s="50"/>
      <c r="H36" s="50"/>
      <c r="I36" s="50"/>
      <c r="J36" s="212"/>
      <c r="K36" s="49"/>
      <c r="L36" s="212"/>
      <c r="M36" s="53"/>
      <c r="N36" s="49"/>
      <c r="O36" s="270"/>
      <c r="P36" s="49"/>
      <c r="Q36" s="49"/>
      <c r="R36" s="212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212"/>
      <c r="AE36" s="49"/>
      <c r="AF36" s="49"/>
      <c r="AG36" s="49"/>
      <c r="AH36" s="49"/>
      <c r="AI36" s="49"/>
      <c r="AJ36" s="49"/>
      <c r="AK36" s="49"/>
      <c r="AL36" s="49"/>
      <c r="AM36" s="49"/>
      <c r="AN36" s="212"/>
      <c r="AO36" s="53"/>
    </row>
    <row r="37" spans="1:41" x14ac:dyDescent="0.25">
      <c r="A37" s="55"/>
      <c r="B37" s="63"/>
      <c r="C37" s="54"/>
      <c r="D37" s="50"/>
      <c r="E37" s="50"/>
      <c r="F37" s="50"/>
      <c r="G37" s="50"/>
      <c r="H37" s="50"/>
      <c r="I37" s="50"/>
      <c r="J37" s="212"/>
      <c r="K37" s="49"/>
      <c r="L37" s="212"/>
      <c r="M37" s="53"/>
      <c r="N37" s="152"/>
      <c r="O37" s="271"/>
      <c r="P37" s="49"/>
      <c r="Q37" s="152"/>
      <c r="R37" s="157"/>
      <c r="S37" s="152"/>
      <c r="T37" s="49"/>
      <c r="U37" s="49"/>
      <c r="V37" s="152"/>
      <c r="W37" s="49"/>
      <c r="X37" s="49"/>
      <c r="Y37" s="49"/>
      <c r="Z37" s="49"/>
      <c r="AA37" s="152"/>
      <c r="AB37" s="152"/>
      <c r="AC37" s="152"/>
      <c r="AD37" s="157"/>
      <c r="AE37" s="49"/>
      <c r="AF37" s="49"/>
      <c r="AG37" s="49"/>
      <c r="AH37" s="152"/>
      <c r="AI37" s="152"/>
      <c r="AJ37" s="152"/>
      <c r="AK37" s="49"/>
      <c r="AL37" s="152"/>
      <c r="AM37" s="49"/>
      <c r="AN37" s="157"/>
      <c r="AO37" s="158"/>
    </row>
    <row r="38" spans="1:41" s="48" customFormat="1" ht="15.75" thickBot="1" x14ac:dyDescent="0.3">
      <c r="A38" s="159"/>
      <c r="B38" s="160"/>
      <c r="C38" s="161"/>
      <c r="D38" s="162"/>
      <c r="E38" s="162"/>
      <c r="F38" s="162"/>
      <c r="G38" s="162"/>
      <c r="H38" s="162"/>
      <c r="I38" s="162"/>
      <c r="J38" s="268"/>
      <c r="K38" s="164"/>
      <c r="L38" s="268"/>
      <c r="M38" s="163"/>
      <c r="N38" s="165"/>
      <c r="O38" s="274"/>
      <c r="P38" s="164"/>
      <c r="Q38" s="165"/>
      <c r="R38" s="166"/>
      <c r="S38" s="165"/>
      <c r="T38" s="164"/>
      <c r="U38" s="164"/>
      <c r="V38" s="165"/>
      <c r="W38" s="164"/>
      <c r="X38" s="164"/>
      <c r="Y38" s="164"/>
      <c r="Z38" s="164"/>
      <c r="AA38" s="165"/>
      <c r="AB38" s="165"/>
      <c r="AC38" s="165"/>
      <c r="AD38" s="166"/>
      <c r="AE38" s="164"/>
      <c r="AF38" s="164"/>
      <c r="AG38" s="164"/>
      <c r="AH38" s="165"/>
      <c r="AI38" s="165"/>
      <c r="AJ38" s="165"/>
      <c r="AK38" s="164"/>
      <c r="AL38" s="165"/>
      <c r="AM38" s="164"/>
      <c r="AN38" s="166"/>
      <c r="AO38" s="167"/>
    </row>
    <row r="41" spans="1:41" x14ac:dyDescent="0.25">
      <c r="C41" s="48"/>
      <c r="D41" s="48"/>
      <c r="E41" s="48"/>
      <c r="F41" s="48"/>
      <c r="G41" s="48"/>
      <c r="H41" s="48"/>
      <c r="I41" s="48"/>
      <c r="J41" s="48"/>
      <c r="K41" s="48"/>
    </row>
  </sheetData>
  <sheetProtection sheet="1" objects="1" scenarios="1"/>
  <sortState xmlns:xlrd2="http://schemas.microsoft.com/office/spreadsheetml/2017/richdata2" ref="A3:AN38">
    <sortCondition ref="A3:A38"/>
  </sortState>
  <mergeCells count="4">
    <mergeCell ref="A1:A2"/>
    <mergeCell ref="B1:B2"/>
    <mergeCell ref="C1:M1"/>
    <mergeCell ref="N1:AO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U21"/>
  <sheetViews>
    <sheetView workbookViewId="0">
      <selection sqref="A1:XFD1048576"/>
    </sheetView>
  </sheetViews>
  <sheetFormatPr defaultColWidth="9.140625" defaultRowHeight="15.75" x14ac:dyDescent="0.25"/>
  <cols>
    <col min="1" max="1" width="4.7109375" style="176" customWidth="1"/>
    <col min="2" max="2" width="5" style="176" customWidth="1"/>
    <col min="3" max="3" width="35.28515625" style="176" customWidth="1"/>
    <col min="4" max="4" width="25.85546875" style="176" customWidth="1"/>
    <col min="5" max="5" width="12.85546875" style="176" customWidth="1"/>
    <col min="6" max="6" width="6.85546875" style="176" customWidth="1"/>
    <col min="7" max="7" width="16.28515625" style="176" customWidth="1"/>
    <col min="8" max="8" width="13" style="176" customWidth="1"/>
    <col min="9" max="9" width="11.42578125" style="176" customWidth="1"/>
    <col min="10" max="10" width="13" style="176" customWidth="1"/>
    <col min="11" max="11" width="11.42578125" style="176" customWidth="1"/>
    <col min="12" max="12" width="13" style="176" customWidth="1"/>
    <col min="13" max="13" width="11.42578125" style="176" customWidth="1"/>
    <col min="14" max="14" width="13" style="176" customWidth="1"/>
    <col min="15" max="15" width="11.28515625" style="176" customWidth="1"/>
    <col min="16" max="16" width="13" style="176" customWidth="1"/>
    <col min="17" max="17" width="11.28515625" style="176" customWidth="1"/>
    <col min="18" max="18" width="13" style="176" customWidth="1"/>
    <col min="19" max="20" width="11.28515625" style="176" customWidth="1"/>
    <col min="21" max="21" width="20.85546875" style="176" customWidth="1"/>
    <col min="22" max="16384" width="9.140625" style="176"/>
  </cols>
  <sheetData>
    <row r="1" spans="1:21" ht="18" customHeight="1" x14ac:dyDescent="0.25">
      <c r="A1" s="474"/>
      <c r="B1" s="476"/>
      <c r="C1" s="476"/>
      <c r="D1" s="476"/>
      <c r="E1" s="476"/>
      <c r="F1" s="476"/>
      <c r="G1" s="475"/>
      <c r="H1" s="474"/>
      <c r="I1" s="475"/>
      <c r="J1" s="474"/>
      <c r="K1" s="475"/>
      <c r="L1" s="474"/>
      <c r="M1" s="475"/>
      <c r="N1" s="474"/>
      <c r="O1" s="475"/>
      <c r="P1" s="474"/>
      <c r="Q1" s="475"/>
      <c r="R1" s="474"/>
      <c r="S1" s="475"/>
      <c r="T1" s="474"/>
      <c r="U1" s="475"/>
    </row>
    <row r="2" spans="1:21" ht="18" customHeight="1" x14ac:dyDescent="0.25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</row>
    <row r="3" spans="1:21" x14ac:dyDescent="0.25">
      <c r="A3" s="178"/>
      <c r="B3" s="178"/>
      <c r="C3" s="178"/>
      <c r="D3" s="179"/>
      <c r="E3" s="180"/>
      <c r="F3" s="181"/>
      <c r="G3" s="178"/>
      <c r="H3" s="182"/>
      <c r="I3" s="182"/>
      <c r="J3" s="181"/>
      <c r="K3" s="181"/>
      <c r="L3" s="182"/>
      <c r="M3" s="182"/>
      <c r="N3" s="181"/>
      <c r="O3" s="181"/>
      <c r="P3" s="182"/>
      <c r="Q3" s="182"/>
      <c r="R3" s="181"/>
      <c r="S3" s="181"/>
      <c r="T3" s="182"/>
      <c r="U3" s="182"/>
    </row>
    <row r="4" spans="1:21" x14ac:dyDescent="0.25">
      <c r="A4" s="178"/>
      <c r="B4" s="178"/>
      <c r="C4" s="178"/>
      <c r="D4" s="179"/>
      <c r="E4" s="180"/>
      <c r="F4" s="181"/>
      <c r="G4" s="178"/>
      <c r="H4" s="182"/>
      <c r="I4" s="182"/>
      <c r="J4" s="181"/>
      <c r="K4" s="181"/>
      <c r="L4" s="182"/>
      <c r="M4" s="182"/>
      <c r="N4" s="181"/>
      <c r="O4" s="181"/>
      <c r="P4" s="182"/>
      <c r="Q4" s="182"/>
      <c r="R4" s="181"/>
      <c r="S4" s="181"/>
      <c r="T4" s="182"/>
      <c r="U4" s="182"/>
    </row>
    <row r="5" spans="1:21" x14ac:dyDescent="0.25">
      <c r="A5" s="178"/>
      <c r="B5" s="178"/>
      <c r="C5" s="178"/>
      <c r="D5" s="179"/>
      <c r="E5" s="180"/>
      <c r="F5" s="181"/>
      <c r="G5" s="178"/>
      <c r="H5" s="182"/>
      <c r="I5" s="182"/>
      <c r="J5" s="181"/>
      <c r="K5" s="181"/>
      <c r="L5" s="182"/>
      <c r="M5" s="182"/>
      <c r="N5" s="181"/>
      <c r="O5" s="181"/>
      <c r="P5" s="182"/>
      <c r="Q5" s="182"/>
      <c r="R5" s="181"/>
      <c r="S5" s="181"/>
      <c r="T5" s="182"/>
      <c r="U5" s="182"/>
    </row>
    <row r="6" spans="1:21" x14ac:dyDescent="0.25">
      <c r="A6" s="178"/>
      <c r="B6" s="178"/>
      <c r="C6" s="178"/>
      <c r="D6" s="179"/>
      <c r="E6" s="180"/>
      <c r="F6" s="181"/>
      <c r="G6" s="178"/>
      <c r="H6" s="182"/>
      <c r="I6" s="182"/>
      <c r="J6" s="181"/>
      <c r="K6" s="181"/>
      <c r="L6" s="182"/>
      <c r="M6" s="182"/>
      <c r="N6" s="181"/>
      <c r="O6" s="181"/>
      <c r="P6" s="182"/>
      <c r="Q6" s="182"/>
      <c r="R6" s="181"/>
      <c r="S6" s="181"/>
      <c r="T6" s="182"/>
      <c r="U6" s="182"/>
    </row>
    <row r="7" spans="1:21" x14ac:dyDescent="0.25">
      <c r="A7" s="178"/>
      <c r="B7" s="178"/>
      <c r="C7" s="178"/>
      <c r="D7" s="179"/>
      <c r="E7" s="180"/>
      <c r="F7" s="181"/>
      <c r="G7" s="178"/>
      <c r="H7" s="182"/>
      <c r="I7" s="182"/>
      <c r="J7" s="181"/>
      <c r="K7" s="181"/>
      <c r="L7" s="182"/>
      <c r="M7" s="182"/>
      <c r="N7" s="181"/>
      <c r="O7" s="181"/>
      <c r="P7" s="182"/>
      <c r="Q7" s="182"/>
      <c r="R7" s="181"/>
      <c r="S7" s="181"/>
      <c r="T7" s="182"/>
      <c r="U7" s="182"/>
    </row>
    <row r="8" spans="1:21" x14ac:dyDescent="0.25">
      <c r="A8" s="178"/>
      <c r="B8" s="178"/>
      <c r="C8" s="178"/>
      <c r="D8" s="179"/>
      <c r="E8" s="180"/>
      <c r="F8" s="181"/>
      <c r="G8" s="178"/>
      <c r="H8" s="182"/>
      <c r="I8" s="182"/>
      <c r="J8" s="181"/>
      <c r="K8" s="181"/>
      <c r="L8" s="182"/>
      <c r="M8" s="182"/>
      <c r="N8" s="181"/>
      <c r="O8" s="181"/>
      <c r="P8" s="182"/>
      <c r="Q8" s="182"/>
      <c r="R8" s="181"/>
      <c r="S8" s="181"/>
      <c r="T8" s="182"/>
      <c r="U8" s="182"/>
    </row>
    <row r="9" spans="1:21" x14ac:dyDescent="0.25">
      <c r="A9" s="178"/>
      <c r="B9" s="178"/>
      <c r="C9" s="178"/>
      <c r="D9" s="179"/>
      <c r="E9" s="180"/>
      <c r="F9" s="181"/>
      <c r="G9" s="178"/>
      <c r="H9" s="182"/>
      <c r="I9" s="182"/>
      <c r="J9" s="181"/>
      <c r="K9" s="181"/>
      <c r="L9" s="182"/>
      <c r="M9" s="182"/>
      <c r="N9" s="181"/>
      <c r="O9" s="181"/>
      <c r="P9" s="182"/>
      <c r="Q9" s="182"/>
      <c r="R9" s="181"/>
      <c r="S9" s="181"/>
      <c r="T9" s="182"/>
      <c r="U9" s="182"/>
    </row>
    <row r="10" spans="1:21" x14ac:dyDescent="0.25">
      <c r="A10" s="178"/>
      <c r="B10" s="178"/>
      <c r="C10" s="178"/>
      <c r="D10" s="179"/>
      <c r="E10" s="180"/>
      <c r="F10" s="181"/>
      <c r="G10" s="178"/>
      <c r="H10" s="182"/>
      <c r="I10" s="182"/>
      <c r="J10" s="181"/>
      <c r="K10" s="181"/>
      <c r="L10" s="182"/>
      <c r="M10" s="182"/>
      <c r="N10" s="181"/>
      <c r="O10" s="181"/>
      <c r="P10" s="182"/>
      <c r="Q10" s="182"/>
      <c r="R10" s="181"/>
      <c r="S10" s="181"/>
      <c r="T10" s="182"/>
      <c r="U10" s="182"/>
    </row>
    <row r="11" spans="1:21" x14ac:dyDescent="0.25">
      <c r="A11" s="178"/>
      <c r="B11" s="178"/>
      <c r="C11" s="178"/>
      <c r="D11" s="179"/>
      <c r="E11" s="180"/>
      <c r="F11" s="181"/>
      <c r="G11" s="178"/>
      <c r="H11" s="182"/>
      <c r="I11" s="182"/>
      <c r="J11" s="181"/>
      <c r="K11" s="181"/>
      <c r="L11" s="182"/>
      <c r="M11" s="182"/>
      <c r="N11" s="181"/>
      <c r="O11" s="181"/>
      <c r="P11" s="182"/>
      <c r="Q11" s="182"/>
      <c r="R11" s="181"/>
      <c r="S11" s="181"/>
      <c r="T11" s="182"/>
      <c r="U11" s="182"/>
    </row>
    <row r="12" spans="1:21" x14ac:dyDescent="0.25">
      <c r="A12" s="178"/>
      <c r="B12" s="178"/>
      <c r="C12" s="178"/>
      <c r="D12" s="179"/>
      <c r="E12" s="180"/>
      <c r="F12" s="181"/>
      <c r="G12" s="178"/>
      <c r="H12" s="182"/>
      <c r="I12" s="182"/>
      <c r="J12" s="181"/>
      <c r="K12" s="181"/>
      <c r="L12" s="182"/>
      <c r="M12" s="182"/>
      <c r="N12" s="181"/>
      <c r="O12" s="181"/>
      <c r="P12" s="182"/>
      <c r="Q12" s="182"/>
      <c r="R12" s="181"/>
      <c r="S12" s="181"/>
      <c r="T12" s="182"/>
      <c r="U12" s="182"/>
    </row>
    <row r="13" spans="1:21" x14ac:dyDescent="0.25">
      <c r="A13" s="178"/>
      <c r="B13" s="178"/>
      <c r="C13" s="178"/>
      <c r="D13" s="179"/>
      <c r="E13" s="180"/>
      <c r="F13" s="181"/>
      <c r="G13" s="178"/>
      <c r="H13" s="182"/>
      <c r="I13" s="182"/>
      <c r="J13" s="181"/>
      <c r="K13" s="181"/>
      <c r="L13" s="182"/>
      <c r="M13" s="182"/>
      <c r="N13" s="181"/>
      <c r="O13" s="181"/>
      <c r="P13" s="182"/>
      <c r="Q13" s="182"/>
      <c r="R13" s="181"/>
      <c r="S13" s="181"/>
      <c r="T13" s="182"/>
      <c r="U13" s="182"/>
    </row>
    <row r="14" spans="1:21" x14ac:dyDescent="0.25">
      <c r="A14" s="178"/>
      <c r="B14" s="178"/>
      <c r="C14" s="178"/>
      <c r="D14" s="179"/>
      <c r="E14" s="180"/>
      <c r="F14" s="181"/>
      <c r="G14" s="178"/>
      <c r="H14" s="182"/>
      <c r="I14" s="182"/>
      <c r="J14" s="181"/>
      <c r="K14" s="181"/>
      <c r="L14" s="182"/>
      <c r="M14" s="182"/>
      <c r="N14" s="181"/>
      <c r="O14" s="181"/>
      <c r="P14" s="182"/>
      <c r="Q14" s="182"/>
      <c r="R14" s="181"/>
      <c r="S14" s="181"/>
      <c r="T14" s="182"/>
      <c r="U14" s="182"/>
    </row>
    <row r="15" spans="1:21" x14ac:dyDescent="0.25">
      <c r="A15" s="178"/>
      <c r="B15" s="178"/>
      <c r="C15" s="178"/>
      <c r="D15" s="179"/>
      <c r="E15" s="180"/>
      <c r="F15" s="181"/>
      <c r="G15" s="178"/>
      <c r="H15" s="182"/>
      <c r="I15" s="182"/>
      <c r="J15" s="181"/>
      <c r="K15" s="181"/>
      <c r="L15" s="182"/>
      <c r="M15" s="182"/>
      <c r="N15" s="181"/>
      <c r="O15" s="181"/>
      <c r="P15" s="182"/>
      <c r="Q15" s="182"/>
      <c r="R15" s="181"/>
      <c r="S15" s="181"/>
      <c r="T15" s="182"/>
      <c r="U15" s="182"/>
    </row>
    <row r="16" spans="1:21" x14ac:dyDescent="0.25">
      <c r="A16" s="178"/>
      <c r="B16" s="178"/>
      <c r="C16" s="178"/>
      <c r="D16" s="179"/>
      <c r="E16" s="180"/>
      <c r="F16" s="181"/>
      <c r="G16" s="178"/>
      <c r="H16" s="182"/>
      <c r="I16" s="182"/>
      <c r="J16" s="181"/>
      <c r="K16" s="181"/>
      <c r="L16" s="182"/>
      <c r="M16" s="182"/>
      <c r="N16" s="181"/>
      <c r="O16" s="181"/>
      <c r="P16" s="182"/>
      <c r="Q16" s="182"/>
      <c r="R16" s="181"/>
      <c r="S16" s="181"/>
      <c r="T16" s="182"/>
      <c r="U16" s="182"/>
    </row>
    <row r="17" spans="1:21" x14ac:dyDescent="0.25">
      <c r="A17" s="178"/>
      <c r="B17" s="178"/>
      <c r="C17" s="178"/>
      <c r="D17" s="179"/>
      <c r="E17" s="180"/>
      <c r="F17" s="181"/>
      <c r="G17" s="178"/>
      <c r="H17" s="182"/>
      <c r="I17" s="182"/>
      <c r="J17" s="181"/>
      <c r="K17" s="181"/>
      <c r="L17" s="182"/>
      <c r="M17" s="182"/>
      <c r="N17" s="181"/>
      <c r="O17" s="181"/>
      <c r="P17" s="182"/>
      <c r="Q17" s="182"/>
      <c r="R17" s="181"/>
      <c r="S17" s="181"/>
      <c r="T17" s="182"/>
      <c r="U17" s="182"/>
    </row>
    <row r="18" spans="1:21" x14ac:dyDescent="0.25">
      <c r="A18" s="178"/>
      <c r="B18" s="178"/>
      <c r="C18" s="178"/>
      <c r="D18" s="179"/>
      <c r="E18" s="180"/>
      <c r="F18" s="181"/>
      <c r="G18" s="178"/>
      <c r="H18" s="182"/>
      <c r="I18" s="182"/>
      <c r="J18" s="181"/>
      <c r="K18" s="181"/>
      <c r="L18" s="182"/>
      <c r="M18" s="182"/>
      <c r="N18" s="181"/>
      <c r="O18" s="181"/>
      <c r="P18" s="182"/>
      <c r="Q18" s="182"/>
      <c r="R18" s="181"/>
      <c r="S18" s="181"/>
      <c r="T18" s="182"/>
      <c r="U18" s="182"/>
    </row>
    <row r="19" spans="1:21" x14ac:dyDescent="0.25">
      <c r="A19" s="178"/>
      <c r="B19" s="178"/>
      <c r="C19" s="178"/>
      <c r="D19" s="179"/>
      <c r="E19" s="180"/>
      <c r="F19" s="181"/>
      <c r="G19" s="178"/>
      <c r="H19" s="182"/>
      <c r="I19" s="182"/>
      <c r="J19" s="181"/>
      <c r="K19" s="181"/>
      <c r="L19" s="182"/>
      <c r="M19" s="182"/>
      <c r="N19" s="181"/>
      <c r="O19" s="181"/>
      <c r="P19" s="182"/>
      <c r="Q19" s="182"/>
      <c r="R19" s="181"/>
      <c r="S19" s="181"/>
      <c r="T19" s="182"/>
      <c r="U19" s="182"/>
    </row>
    <row r="20" spans="1:21" x14ac:dyDescent="0.25">
      <c r="A20" s="178"/>
      <c r="B20" s="178"/>
      <c r="C20" s="178"/>
      <c r="D20" s="179"/>
      <c r="E20" s="180"/>
      <c r="F20" s="181"/>
      <c r="G20" s="178"/>
      <c r="H20" s="182"/>
      <c r="I20" s="182"/>
      <c r="J20" s="181"/>
      <c r="K20" s="181"/>
      <c r="L20" s="182"/>
      <c r="M20" s="182"/>
      <c r="N20" s="181"/>
      <c r="O20" s="181"/>
      <c r="P20" s="182"/>
      <c r="Q20" s="182"/>
      <c r="R20" s="181"/>
      <c r="S20" s="181"/>
      <c r="T20" s="182"/>
      <c r="U20" s="182"/>
    </row>
    <row r="21" spans="1:21" x14ac:dyDescent="0.25">
      <c r="A21" s="178"/>
      <c r="B21" s="178"/>
      <c r="C21" s="178"/>
      <c r="D21" s="179"/>
      <c r="E21" s="180"/>
      <c r="F21" s="181"/>
      <c r="G21" s="178"/>
      <c r="H21" s="182"/>
      <c r="I21" s="182"/>
      <c r="J21" s="181"/>
      <c r="K21" s="181"/>
      <c r="L21" s="182"/>
      <c r="M21" s="182"/>
      <c r="N21" s="181"/>
      <c r="O21" s="181"/>
      <c r="P21" s="182"/>
      <c r="Q21" s="182"/>
      <c r="R21" s="181"/>
      <c r="S21" s="181"/>
      <c r="T21" s="182"/>
      <c r="U21" s="182"/>
    </row>
  </sheetData>
  <mergeCells count="8">
    <mergeCell ref="R1:S1"/>
    <mergeCell ref="T1:U1"/>
    <mergeCell ref="P1:Q1"/>
    <mergeCell ref="A1:G1"/>
    <mergeCell ref="H1:I1"/>
    <mergeCell ref="J1:K1"/>
    <mergeCell ref="L1:M1"/>
    <mergeCell ref="N1:O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/>
  <dimension ref="A1:Y112"/>
  <sheetViews>
    <sheetView view="pageBreakPreview" zoomScaleNormal="40" zoomScaleSheetLayoutView="100" zoomScalePageLayoutView="85" workbookViewId="0">
      <selection activeCell="L3" sqref="L3:M3"/>
    </sheetView>
  </sheetViews>
  <sheetFormatPr defaultColWidth="9.140625" defaultRowHeight="12.75" x14ac:dyDescent="0.25"/>
  <cols>
    <col min="1" max="1" width="5.7109375" style="136" customWidth="1"/>
    <col min="2" max="2" width="11.42578125" style="136" customWidth="1"/>
    <col min="3" max="6" width="7.5703125" style="136" customWidth="1"/>
    <col min="7" max="12" width="6.5703125" style="136" customWidth="1"/>
    <col min="13" max="13" width="12.5703125" style="136" customWidth="1"/>
    <col min="14" max="14" width="12.5703125" style="136" hidden="1" customWidth="1"/>
    <col min="15" max="16" width="10.5703125" style="136" hidden="1" customWidth="1"/>
    <col min="17" max="17" width="10.5703125" style="136" customWidth="1"/>
    <col min="18" max="18" width="27.85546875" style="136" bestFit="1" customWidth="1"/>
    <col min="19" max="19" width="12.85546875" style="136" bestFit="1" customWidth="1"/>
    <col min="20" max="20" width="10.5703125" style="136" customWidth="1"/>
    <col min="21" max="21" width="10.140625" style="136" customWidth="1"/>
    <col min="22" max="22" width="8.5703125" style="136" customWidth="1"/>
    <col min="23" max="23" width="12.5703125" style="136" customWidth="1"/>
    <col min="24" max="24" width="8" style="136" customWidth="1"/>
    <col min="25" max="25" width="21.42578125" style="136" bestFit="1" customWidth="1"/>
    <col min="26" max="26" width="14.85546875" style="136" bestFit="1" customWidth="1"/>
    <col min="27" max="34" width="9.28515625" style="136" bestFit="1" customWidth="1"/>
    <col min="35" max="35" width="19" style="136" bestFit="1" customWidth="1"/>
    <col min="36" max="16384" width="9.140625" style="136"/>
  </cols>
  <sheetData>
    <row r="1" spans="1:25" ht="21" x14ac:dyDescent="0.25">
      <c r="A1" s="490" t="s">
        <v>275</v>
      </c>
      <c r="B1" s="490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231"/>
      <c r="O1" s="139"/>
      <c r="P1" s="139"/>
      <c r="Q1" s="139"/>
      <c r="R1" s="139"/>
      <c r="S1" s="139"/>
      <c r="T1" s="139"/>
      <c r="U1" s="139"/>
      <c r="V1" s="139"/>
      <c r="W1" s="143"/>
      <c r="X1" s="142"/>
    </row>
    <row r="2" spans="1:25" x14ac:dyDescent="0.25">
      <c r="B2" s="191"/>
      <c r="C2" s="191"/>
      <c r="D2" s="191"/>
      <c r="E2" s="191"/>
      <c r="F2" s="191"/>
      <c r="G2" s="191"/>
      <c r="H2" s="191"/>
      <c r="J2" s="191"/>
      <c r="K2" s="140"/>
      <c r="L2" s="140"/>
      <c r="M2" s="140"/>
      <c r="N2" s="140"/>
      <c r="Q2" s="140"/>
      <c r="R2" s="141"/>
    </row>
    <row r="3" spans="1:25" ht="16.5" x14ac:dyDescent="0.25">
      <c r="A3" s="492" t="s">
        <v>295</v>
      </c>
      <c r="B3" s="492"/>
      <c r="C3" s="493" t="str">
        <f>sample1!D6</f>
        <v>--</v>
      </c>
      <c r="D3" s="493"/>
      <c r="E3" s="493"/>
      <c r="F3" s="493"/>
      <c r="G3" s="493"/>
      <c r="H3" s="493"/>
      <c r="I3" s="493"/>
      <c r="J3" s="192"/>
      <c r="K3" s="193" t="s">
        <v>274</v>
      </c>
      <c r="L3" s="494" t="str">
        <f>sample1!AA3</f>
        <v>--</v>
      </c>
      <c r="M3" s="494"/>
      <c r="N3" s="236"/>
      <c r="R3" s="139"/>
    </row>
    <row r="4" spans="1:25" ht="13.5" thickBot="1" x14ac:dyDescent="0.3">
      <c r="B4" s="191"/>
      <c r="C4" s="191"/>
      <c r="D4" s="191"/>
      <c r="E4" s="191"/>
      <c r="F4" s="191"/>
      <c r="G4" s="191"/>
      <c r="H4" s="191"/>
      <c r="I4" s="191"/>
      <c r="J4" s="191"/>
      <c r="K4" s="140"/>
      <c r="L4" s="140"/>
      <c r="M4" s="140"/>
      <c r="N4" s="140"/>
      <c r="O4" s="140"/>
      <c r="P4" s="140"/>
      <c r="Q4" s="140"/>
      <c r="R4" s="139"/>
    </row>
    <row r="5" spans="1:25" ht="39.6" customHeight="1" x14ac:dyDescent="0.25">
      <c r="A5" s="495" t="s">
        <v>296</v>
      </c>
      <c r="B5" s="496"/>
      <c r="C5" s="499" t="s">
        <v>273</v>
      </c>
      <c r="D5" s="500"/>
      <c r="E5" s="501" t="s">
        <v>272</v>
      </c>
      <c r="F5" s="500"/>
      <c r="G5" s="500" t="s">
        <v>271</v>
      </c>
      <c r="H5" s="500"/>
      <c r="I5" s="502" t="s">
        <v>270</v>
      </c>
      <c r="J5" s="502"/>
      <c r="K5" s="503" t="s">
        <v>269</v>
      </c>
      <c r="L5" s="503"/>
      <c r="M5" s="505" t="s">
        <v>268</v>
      </c>
      <c r="N5" s="237"/>
      <c r="R5" s="479" t="s">
        <v>267</v>
      </c>
      <c r="S5" s="488" t="s">
        <v>266</v>
      </c>
    </row>
    <row r="6" spans="1:25" ht="27.2" customHeight="1" thickBot="1" x14ac:dyDescent="0.3">
      <c r="A6" s="497"/>
      <c r="B6" s="498"/>
      <c r="C6" s="507" t="s">
        <v>265</v>
      </c>
      <c r="D6" s="508"/>
      <c r="E6" s="508" t="s">
        <v>265</v>
      </c>
      <c r="F6" s="508"/>
      <c r="G6" s="508" t="s">
        <v>265</v>
      </c>
      <c r="H6" s="508"/>
      <c r="I6" s="509" t="s">
        <v>264</v>
      </c>
      <c r="J6" s="509"/>
      <c r="K6" s="504"/>
      <c r="L6" s="504"/>
      <c r="M6" s="506"/>
      <c r="N6" s="234" t="s">
        <v>365</v>
      </c>
      <c r="O6" s="234" t="s">
        <v>364</v>
      </c>
      <c r="P6" s="235" t="s">
        <v>363</v>
      </c>
      <c r="R6" s="480"/>
      <c r="S6" s="489"/>
    </row>
    <row r="7" spans="1:25" ht="30" customHeight="1" thickTop="1" x14ac:dyDescent="0.4">
      <c r="A7" s="241" t="str">
        <f t="shared" ref="A7:A17" ca="1" si="0">IF(AND(N7&gt;O7,I7&lt;&gt;"--"),"*","")</f>
        <v/>
      </c>
      <c r="B7" s="242" t="str">
        <f ca="1">IF(sample1!B19="--","--",LEFT(sample1!B19,2))</f>
        <v>--</v>
      </c>
      <c r="C7" s="485" t="str">
        <f ca="1">IF(sample1!V19="--",sample1!O19,sample1!AB19)</f>
        <v>--</v>
      </c>
      <c r="D7" s="486"/>
      <c r="E7" s="481" t="str">
        <f ca="1">IF(sample2!V19="--",sample2!O19,sample2!AB19)</f>
        <v>--</v>
      </c>
      <c r="F7" s="481"/>
      <c r="G7" s="482" t="str">
        <f ca="1">IF(OR(C7="--",C7="ND"),"--",AVERAGE(C7:F7))</f>
        <v>--</v>
      </c>
      <c r="H7" s="482"/>
      <c r="I7" s="483" t="str">
        <f ca="1">IF(G7="--","--",ABS(C7-E7)/G7*100)</f>
        <v>--</v>
      </c>
      <c r="J7" s="484"/>
      <c r="K7" s="243" t="s">
        <v>259</v>
      </c>
      <c r="L7" s="253" t="str">
        <f ca="1">IF(A7="*",N7,P7)</f>
        <v/>
      </c>
      <c r="M7" s="244" t="str">
        <f ca="1">IF(I7="--","--",IF(I7&lt;=L7,"符合","不符合"))</f>
        <v>--</v>
      </c>
      <c r="N7" s="240" t="str">
        <f t="shared" ref="N7:N17" ca="1" si="1">IF(G7="--","--",IF(G7&gt;1,$S$7,IF(AND(G7&gt;0.1,G7&lt;=1),$S$8,IF(AND(G7&gt;0.01,G7&lt;=0.1),$S$9,IF(AND(G7&gt;0.001,G7&lt;=0.01),$S$10,IF(G7&lt;=0.001,$S$11,"--"))))))</f>
        <v>--</v>
      </c>
      <c r="O7" s="226" t="str" cm="1">
        <f t="array" aca="1" ref="O7" ca="1">IFERROR(INDEX($A$34:$M$112,MATCH(WorkSheet!$E$3&amp;Replicates!B7,$A$34:$A$112&amp;$J$34:$J$112,0),MATCH($O$6,$A$34:$M$34,0)),"")</f>
        <v/>
      </c>
      <c r="P7" s="226" t="str" cm="1">
        <f t="array" aca="1" ref="P7" ca="1">IFERROR(INDEX($A$34:$M$112,MATCH(WorkSheet!$E$3&amp;Replicates!B7,$A$34:$A$112&amp;$J$34:$J$112,0),MATCH($P$6,$A$34:$M$34,0)),"")</f>
        <v/>
      </c>
      <c r="R7" s="138">
        <v>1</v>
      </c>
      <c r="S7" s="224">
        <v>10</v>
      </c>
    </row>
    <row r="8" spans="1:25" ht="30" customHeight="1" x14ac:dyDescent="0.4">
      <c r="A8" s="245" t="str">
        <f t="shared" ca="1" si="0"/>
        <v/>
      </c>
      <c r="B8" s="246" t="str">
        <f ca="1">IF(sample1!B20="--","--",LEFT(sample1!B20,2))</f>
        <v>--</v>
      </c>
      <c r="C8" s="485" t="str">
        <f ca="1">IF(sample1!V20="--",sample1!O20,sample1!AB20)</f>
        <v>--</v>
      </c>
      <c r="D8" s="486"/>
      <c r="E8" s="481" t="str">
        <f ca="1">IF(sample2!V20="--",sample2!O20,sample2!AB20)</f>
        <v>--</v>
      </c>
      <c r="F8" s="481"/>
      <c r="G8" s="482" t="str">
        <f t="shared" ref="G8:G17" ca="1" si="2">IF(OR(C8="--",C8="ND"),"--",AVERAGE(C8:F8))</f>
        <v>--</v>
      </c>
      <c r="H8" s="482"/>
      <c r="I8" s="483" t="str">
        <f t="shared" ref="I8:I17" ca="1" si="3">IF(G8="--","--",ABS(C8-E8)/G8*100)</f>
        <v>--</v>
      </c>
      <c r="J8" s="484"/>
      <c r="K8" s="247" t="s">
        <v>259</v>
      </c>
      <c r="L8" s="254" t="str">
        <f t="shared" ref="L8:L17" ca="1" si="4">IF(A8="*",N8,P8)</f>
        <v/>
      </c>
      <c r="M8" s="244" t="str">
        <f ca="1">IF(I8="--","--",IF(I8&lt;=L8,"符合","不符合"))</f>
        <v>--</v>
      </c>
      <c r="N8" s="240" t="str">
        <f t="shared" ca="1" si="1"/>
        <v>--</v>
      </c>
      <c r="O8" s="226" t="str" cm="1">
        <f t="array" aca="1" ref="O8" ca="1">IFERROR(INDEX($A$34:$M$112,MATCH(WorkSheet!$E$3&amp;Replicates!B8,$A$34:$A$112&amp;$J$34:$J$112,0),MATCH($O$6,$A$34:$M$34,0)),"")</f>
        <v/>
      </c>
      <c r="P8" s="226" t="str" cm="1">
        <f t="array" aca="1" ref="P8" ca="1">IFERROR(INDEX($A$34:$M$112,MATCH(WorkSheet!$E$3&amp;Replicates!B8,$A$34:$A$112&amp;$J$34:$J$112,0),MATCH($P$6,$A$34:$M$34,0)),"")</f>
        <v/>
      </c>
      <c r="R8" s="138" t="s">
        <v>263</v>
      </c>
      <c r="S8" s="224">
        <v>15</v>
      </c>
    </row>
    <row r="9" spans="1:25" ht="30" customHeight="1" x14ac:dyDescent="0.4">
      <c r="A9" s="245" t="str">
        <f t="shared" ca="1" si="0"/>
        <v/>
      </c>
      <c r="B9" s="246" t="str">
        <f ca="1">IF(sample1!B21="--","--",LEFT(sample1!B21,2))</f>
        <v>--</v>
      </c>
      <c r="C9" s="485" t="str">
        <f ca="1">IF(sample1!V21="--",sample1!O21,sample1!AB21)</f>
        <v>--</v>
      </c>
      <c r="D9" s="486"/>
      <c r="E9" s="481" t="str">
        <f ca="1">IF(sample2!V21="--",sample2!O21,sample2!AB21)</f>
        <v>--</v>
      </c>
      <c r="F9" s="481"/>
      <c r="G9" s="482" t="str">
        <f t="shared" ca="1" si="2"/>
        <v>--</v>
      </c>
      <c r="H9" s="482"/>
      <c r="I9" s="483" t="str">
        <f t="shared" ca="1" si="3"/>
        <v>--</v>
      </c>
      <c r="J9" s="484"/>
      <c r="K9" s="247" t="s">
        <v>259</v>
      </c>
      <c r="L9" s="254" t="str">
        <f t="shared" ca="1" si="4"/>
        <v/>
      </c>
      <c r="M9" s="244" t="str">
        <f ca="1">IF(I9="--","--",IF(I9&lt;=L9,"符合","不符合"))</f>
        <v>--</v>
      </c>
      <c r="N9" s="240" t="str">
        <f t="shared" ca="1" si="1"/>
        <v>--</v>
      </c>
      <c r="O9" s="226" t="str" cm="1">
        <f t="array" aca="1" ref="O9" ca="1">IFERROR(INDEX($A$34:$M$112,MATCH(WorkSheet!$E$3&amp;Replicates!B9,$A$34:$A$112&amp;$J$34:$J$112,0),MATCH($O$6,$A$34:$M$34,0)),"")</f>
        <v/>
      </c>
      <c r="P9" s="226" t="str" cm="1">
        <f t="array" aca="1" ref="P9" ca="1">IFERROR(INDEX($A$34:$M$112,MATCH(WorkSheet!$E$3&amp;Replicates!B9,$A$34:$A$112&amp;$J$34:$J$112,0),MATCH($P$6,$A$34:$M$34,0)),"")</f>
        <v/>
      </c>
      <c r="R9" s="138" t="s">
        <v>262</v>
      </c>
      <c r="S9" s="224">
        <v>20</v>
      </c>
    </row>
    <row r="10" spans="1:25" ht="30" customHeight="1" x14ac:dyDescent="0.4">
      <c r="A10" s="245" t="str">
        <f t="shared" ca="1" si="0"/>
        <v/>
      </c>
      <c r="B10" s="246" t="str">
        <f ca="1">IF(sample1!B22="--","--",LEFT(sample1!B22,2))</f>
        <v>--</v>
      </c>
      <c r="C10" s="485" t="str">
        <f ca="1">IF(sample1!V22="--",sample1!O22,sample1!AB22)</f>
        <v>--</v>
      </c>
      <c r="D10" s="486"/>
      <c r="E10" s="481" t="str">
        <f ca="1">IF(sample2!V22="--",sample2!O22,sample2!AB22)</f>
        <v>--</v>
      </c>
      <c r="F10" s="481"/>
      <c r="G10" s="482" t="str">
        <f t="shared" ca="1" si="2"/>
        <v>--</v>
      </c>
      <c r="H10" s="482"/>
      <c r="I10" s="483" t="str">
        <f t="shared" ca="1" si="3"/>
        <v>--</v>
      </c>
      <c r="J10" s="484"/>
      <c r="K10" s="247" t="s">
        <v>259</v>
      </c>
      <c r="L10" s="254" t="str">
        <f t="shared" ca="1" si="4"/>
        <v/>
      </c>
      <c r="M10" s="244" t="str">
        <f ca="1">IF(I10="--","--",IF(I10&lt;=L10,"符合","不符合"))</f>
        <v>--</v>
      </c>
      <c r="N10" s="240" t="str">
        <f t="shared" ca="1" si="1"/>
        <v>--</v>
      </c>
      <c r="O10" s="226" t="str" cm="1">
        <f t="array" aca="1" ref="O10" ca="1">IFERROR(INDEX($A$34:$M$112,MATCH(WorkSheet!$E$3&amp;Replicates!B10,$A$34:$A$112&amp;$J$34:$J$112,0),MATCH($O$6,$A$34:$M$34,0)),"")</f>
        <v/>
      </c>
      <c r="P10" s="226" t="str" cm="1">
        <f t="array" aca="1" ref="P10" ca="1">IFERROR(INDEX($A$34:$M$112,MATCH(WorkSheet!$E$3&amp;Replicates!B10,$A$34:$A$112&amp;$J$34:$J$112,0),MATCH($P$6,$A$34:$M$34,0)),"")</f>
        <v/>
      </c>
      <c r="R10" s="138" t="s">
        <v>261</v>
      </c>
      <c r="S10" s="224">
        <v>25</v>
      </c>
    </row>
    <row r="11" spans="1:25" ht="30" customHeight="1" thickBot="1" x14ac:dyDescent="0.45">
      <c r="A11" s="245" t="str">
        <f t="shared" ca="1" si="0"/>
        <v/>
      </c>
      <c r="B11" s="246" t="str">
        <f ca="1">IF(sample1!B23="--","--",LEFT(sample1!B23,2))</f>
        <v>--</v>
      </c>
      <c r="C11" s="485" t="str">
        <f ca="1">IF(sample1!V23="--",sample1!O23,sample1!AB23)</f>
        <v>--</v>
      </c>
      <c r="D11" s="486"/>
      <c r="E11" s="481" t="str">
        <f ca="1">IF(sample2!V23="--",sample2!O23,sample2!AB23)</f>
        <v>--</v>
      </c>
      <c r="F11" s="481"/>
      <c r="G11" s="482" t="str">
        <f t="shared" ca="1" si="2"/>
        <v>--</v>
      </c>
      <c r="H11" s="482"/>
      <c r="I11" s="483" t="str">
        <f t="shared" ca="1" si="3"/>
        <v>--</v>
      </c>
      <c r="J11" s="484"/>
      <c r="K11" s="247" t="s">
        <v>259</v>
      </c>
      <c r="L11" s="254" t="str">
        <f t="shared" ca="1" si="4"/>
        <v/>
      </c>
      <c r="M11" s="244" t="str">
        <f ca="1">IF(I11="--","--",IF(I11&lt;=L11,"符合","不符合"))</f>
        <v>--</v>
      </c>
      <c r="N11" s="240" t="str">
        <f t="shared" ca="1" si="1"/>
        <v>--</v>
      </c>
      <c r="O11" s="226" t="str" cm="1">
        <f t="array" aca="1" ref="O11" ca="1">IFERROR(INDEX($A$34:$M$112,MATCH(WorkSheet!$E$3&amp;Replicates!B11,$A$34:$A$112&amp;$J$34:$J$112,0),MATCH($O$6,$A$34:$M$34,0)),"")</f>
        <v/>
      </c>
      <c r="P11" s="226" t="str" cm="1">
        <f t="array" aca="1" ref="P11" ca="1">IFERROR(INDEX($A$34:$M$112,MATCH(WorkSheet!$E$3&amp;Replicates!B11,$A$34:$A$112&amp;$J$34:$J$112,0),MATCH($P$6,$A$34:$M$34,0)),"")</f>
        <v/>
      </c>
      <c r="R11" s="137" t="s">
        <v>260</v>
      </c>
      <c r="S11" s="225">
        <v>30</v>
      </c>
    </row>
    <row r="12" spans="1:25" ht="30" customHeight="1" x14ac:dyDescent="0.25">
      <c r="A12" s="248" t="str">
        <f t="shared" ca="1" si="0"/>
        <v/>
      </c>
      <c r="B12" s="246" t="str">
        <f ca="1">IF(sample1!B24="--","--",LEFT(sample1!B24,2))</f>
        <v>--</v>
      </c>
      <c r="C12" s="485" t="str">
        <f ca="1">IF(sample1!V24="--",sample1!O24,sample1!AB24)</f>
        <v>--</v>
      </c>
      <c r="D12" s="486"/>
      <c r="E12" s="481" t="str">
        <f ca="1">IF(sample2!V24="--",sample2!O24,sample2!AB24)</f>
        <v>--</v>
      </c>
      <c r="F12" s="481"/>
      <c r="G12" s="482" t="str">
        <f t="shared" ca="1" si="2"/>
        <v>--</v>
      </c>
      <c r="H12" s="482"/>
      <c r="I12" s="483" t="str">
        <f t="shared" ca="1" si="3"/>
        <v>--</v>
      </c>
      <c r="J12" s="484"/>
      <c r="K12" s="247" t="s">
        <v>259</v>
      </c>
      <c r="L12" s="254" t="str">
        <f t="shared" ca="1" si="4"/>
        <v/>
      </c>
      <c r="M12" s="244" t="str">
        <f t="shared" ref="M12:M17" ca="1" si="5">IF(I12="--","--",IF(I12&lt;=L12,"符合","不符合"))</f>
        <v>--</v>
      </c>
      <c r="N12" s="240" t="str">
        <f t="shared" ca="1" si="1"/>
        <v>--</v>
      </c>
      <c r="O12" s="226" t="str" cm="1">
        <f t="array" aca="1" ref="O12" ca="1">IFERROR(INDEX($A$34:$M$112,MATCH(WorkSheet!$E$3&amp;Replicates!B12,$A$34:$A$112&amp;$J$34:$J$112,0),MATCH($O$6,$A$34:$M$34,0)),"")</f>
        <v/>
      </c>
      <c r="P12" s="226" t="str" cm="1">
        <f t="array" aca="1" ref="P12" ca="1">IFERROR(INDEX($A$34:$M$112,MATCH(WorkSheet!$E$3&amp;Replicates!B12,$A$34:$A$112&amp;$J$34:$J$112,0),MATCH($P$6,$A$34:$M$34,0)),"")</f>
        <v/>
      </c>
    </row>
    <row r="13" spans="1:25" ht="30" customHeight="1" x14ac:dyDescent="0.25">
      <c r="A13" s="248" t="str">
        <f t="shared" ca="1" si="0"/>
        <v/>
      </c>
      <c r="B13" s="246" t="str">
        <f ca="1">IF(sample1!B25="--","--",LEFT(sample1!B25,2))</f>
        <v>--</v>
      </c>
      <c r="C13" s="485" t="str">
        <f ca="1">IF(sample1!V25="--",sample1!O25,sample1!AB25)</f>
        <v>--</v>
      </c>
      <c r="D13" s="486"/>
      <c r="E13" s="481" t="str">
        <f ca="1">IF(sample2!V25="--",sample2!O25,sample2!AB25)</f>
        <v>--</v>
      </c>
      <c r="F13" s="481"/>
      <c r="G13" s="482" t="str">
        <f t="shared" ca="1" si="2"/>
        <v>--</v>
      </c>
      <c r="H13" s="482"/>
      <c r="I13" s="483" t="str">
        <f t="shared" ca="1" si="3"/>
        <v>--</v>
      </c>
      <c r="J13" s="484"/>
      <c r="K13" s="247" t="s">
        <v>259</v>
      </c>
      <c r="L13" s="254" t="str">
        <f t="shared" ca="1" si="4"/>
        <v/>
      </c>
      <c r="M13" s="244" t="str">
        <f t="shared" ca="1" si="5"/>
        <v>--</v>
      </c>
      <c r="N13" s="240" t="str">
        <f t="shared" ca="1" si="1"/>
        <v>--</v>
      </c>
      <c r="O13" s="226" t="str" cm="1">
        <f t="array" aca="1" ref="O13" ca="1">IFERROR(INDEX($A$34:$M$112,MATCH(WorkSheet!$E$3&amp;Replicates!B13,$A$34:$A$112&amp;$J$34:$J$112,0),MATCH($O$6,$A$34:$M$34,0)),"")</f>
        <v/>
      </c>
      <c r="P13" s="226" t="str" cm="1">
        <f t="array" aca="1" ref="P13" ca="1">IFERROR(INDEX($A$34:$M$112,MATCH(WorkSheet!$E$3&amp;Replicates!B13,$A$34:$A$112&amp;$J$34:$J$112,0),MATCH($P$6,$A$34:$M$34,0)),"")</f>
        <v/>
      </c>
      <c r="Q13" s="215" t="s">
        <v>352</v>
      </c>
      <c r="R13" s="215" t="s">
        <v>351</v>
      </c>
      <c r="S13" s="215" t="s">
        <v>353</v>
      </c>
      <c r="T13" s="215" t="s">
        <v>354</v>
      </c>
      <c r="U13" s="215" t="s">
        <v>358</v>
      </c>
      <c r="V13" s="221" t="s">
        <v>357</v>
      </c>
    </row>
    <row r="14" spans="1:25" ht="30" customHeight="1" x14ac:dyDescent="0.25">
      <c r="A14" s="248" t="str">
        <f t="shared" ca="1" si="0"/>
        <v/>
      </c>
      <c r="B14" s="246" t="str">
        <f ca="1">IF(sample1!B26="--","--",LEFT(sample1!B26,2))</f>
        <v>--</v>
      </c>
      <c r="C14" s="485" t="str">
        <f ca="1">IF(sample1!V26="--",sample1!O26,sample1!AB26)</f>
        <v>--</v>
      </c>
      <c r="D14" s="486"/>
      <c r="E14" s="481" t="str">
        <f ca="1">IF(sample2!V26="--",sample2!O26,sample2!AB26)</f>
        <v>--</v>
      </c>
      <c r="F14" s="481"/>
      <c r="G14" s="482" t="str">
        <f t="shared" ca="1" si="2"/>
        <v>--</v>
      </c>
      <c r="H14" s="482"/>
      <c r="I14" s="483" t="str">
        <f t="shared" ca="1" si="3"/>
        <v>--</v>
      </c>
      <c r="J14" s="484"/>
      <c r="K14" s="247" t="s">
        <v>259</v>
      </c>
      <c r="L14" s="254" t="str">
        <f t="shared" ca="1" si="4"/>
        <v/>
      </c>
      <c r="M14" s="244" t="str">
        <f t="shared" ca="1" si="5"/>
        <v>--</v>
      </c>
      <c r="N14" s="240" t="str">
        <f t="shared" ca="1" si="1"/>
        <v>--</v>
      </c>
      <c r="O14" s="226" t="str" cm="1">
        <f t="array" aca="1" ref="O14" ca="1">IFERROR(INDEX($A$34:$M$112,MATCH(WorkSheet!$E$3&amp;Replicates!B14,$A$34:$A$112&amp;$J$34:$J$112,0),MATCH($O$6,$A$34:$M$34,0)),"")</f>
        <v/>
      </c>
      <c r="P14" s="226" t="str" cm="1">
        <f t="array" aca="1" ref="P14" ca="1">IFERROR(INDEX($A$34:$M$112,MATCH(WorkSheet!$E$3&amp;Replicates!B14,$A$34:$A$112&amp;$J$34:$J$112,0),MATCH($P$6,$A$34:$M$34,0)),"")</f>
        <v/>
      </c>
      <c r="Q14" s="216" t="str">
        <f ca="1">B7</f>
        <v>--</v>
      </c>
      <c r="R14" s="217" t="str">
        <f>$C$3</f>
        <v>--</v>
      </c>
      <c r="S14" s="223" t="str">
        <f ca="1">C7</f>
        <v>--</v>
      </c>
      <c r="T14" s="223" t="str">
        <f ca="1">E7</f>
        <v>--</v>
      </c>
      <c r="U14" s="223" t="str">
        <f ca="1">I7</f>
        <v>--</v>
      </c>
      <c r="V14" s="216" t="str">
        <f ca="1">IF(OR(A7="*",S14="ND",S14="--"),"","V")</f>
        <v/>
      </c>
      <c r="W14" s="222"/>
      <c r="X14" s="191"/>
      <c r="Y14" s="191"/>
    </row>
    <row r="15" spans="1:25" ht="30" customHeight="1" x14ac:dyDescent="0.25">
      <c r="A15" s="248" t="str">
        <f t="shared" ca="1" si="0"/>
        <v/>
      </c>
      <c r="B15" s="246" t="str">
        <f ca="1">IF(sample1!B27="--","--",LEFT(sample1!B27,2))</f>
        <v>--</v>
      </c>
      <c r="C15" s="485" t="str">
        <f ca="1">IF(sample1!V27="--",sample1!O27,sample1!AB27)</f>
        <v>--</v>
      </c>
      <c r="D15" s="486"/>
      <c r="E15" s="481" t="str">
        <f ca="1">IF(sample2!V27="--",sample2!O27,sample2!AB27)</f>
        <v>--</v>
      </c>
      <c r="F15" s="481"/>
      <c r="G15" s="482" t="str">
        <f t="shared" ca="1" si="2"/>
        <v>--</v>
      </c>
      <c r="H15" s="482"/>
      <c r="I15" s="483" t="str">
        <f t="shared" ca="1" si="3"/>
        <v>--</v>
      </c>
      <c r="J15" s="484"/>
      <c r="K15" s="247" t="s">
        <v>259</v>
      </c>
      <c r="L15" s="254" t="str">
        <f t="shared" ca="1" si="4"/>
        <v/>
      </c>
      <c r="M15" s="244" t="str">
        <f t="shared" ca="1" si="5"/>
        <v>--</v>
      </c>
      <c r="N15" s="240" t="str">
        <f t="shared" ca="1" si="1"/>
        <v>--</v>
      </c>
      <c r="O15" s="226" t="str" cm="1">
        <f t="array" aca="1" ref="O15" ca="1">IFERROR(INDEX($A$34:$M$112,MATCH(WorkSheet!$E$3&amp;Replicates!B15,$A$34:$A$112&amp;$J$34:$J$112,0),MATCH($O$6,$A$34:$M$34,0)),"")</f>
        <v/>
      </c>
      <c r="P15" s="226" t="str" cm="1">
        <f t="array" aca="1" ref="P15" ca="1">IFERROR(INDEX($A$34:$M$112,MATCH(WorkSheet!$E$3&amp;Replicates!B15,$A$34:$A$112&amp;$J$34:$J$112,0),MATCH($P$6,$A$34:$M$34,0)),"")</f>
        <v/>
      </c>
      <c r="Q15" s="216" t="str">
        <f t="shared" ref="Q15:Q24" ca="1" si="6">B8</f>
        <v>--</v>
      </c>
      <c r="R15" s="217" t="str">
        <f ca="1">IF(Q15="--","--",$C$3)</f>
        <v>--</v>
      </c>
      <c r="S15" s="223" t="str">
        <f t="shared" ref="S15:S18" ca="1" si="7">C8</f>
        <v>--</v>
      </c>
      <c r="T15" s="223" t="str">
        <f t="shared" ref="T15:T18" ca="1" si="8">E8</f>
        <v>--</v>
      </c>
      <c r="U15" s="223" t="str">
        <f t="shared" ref="U15:U24" ca="1" si="9">I8</f>
        <v>--</v>
      </c>
      <c r="V15" s="216" t="str">
        <f t="shared" ref="V15:V24" ca="1" si="10">IF(OR(A8="*",S15="ND",S15="--"),"","V")</f>
        <v/>
      </c>
      <c r="W15" s="222"/>
      <c r="X15" s="191"/>
      <c r="Y15" s="191"/>
    </row>
    <row r="16" spans="1:25" ht="30" customHeight="1" x14ac:dyDescent="0.25">
      <c r="A16" s="248" t="str">
        <f t="shared" ca="1" si="0"/>
        <v/>
      </c>
      <c r="B16" s="246" t="str">
        <f ca="1">IF(sample1!B28="--","--",LEFT(sample1!B28,2))</f>
        <v>--</v>
      </c>
      <c r="C16" s="485" t="str">
        <f ca="1">IF(sample1!V28="--",sample1!O28,sample1!AB28)</f>
        <v>--</v>
      </c>
      <c r="D16" s="486"/>
      <c r="E16" s="481" t="str">
        <f ca="1">IF(sample2!V28="--",sample2!O28,sample2!AB28)</f>
        <v>--</v>
      </c>
      <c r="F16" s="481"/>
      <c r="G16" s="482" t="str">
        <f t="shared" ca="1" si="2"/>
        <v>--</v>
      </c>
      <c r="H16" s="482"/>
      <c r="I16" s="483" t="str">
        <f t="shared" ca="1" si="3"/>
        <v>--</v>
      </c>
      <c r="J16" s="484"/>
      <c r="K16" s="247" t="s">
        <v>259</v>
      </c>
      <c r="L16" s="254" t="str">
        <f t="shared" ca="1" si="4"/>
        <v/>
      </c>
      <c r="M16" s="244" t="str">
        <f t="shared" ca="1" si="5"/>
        <v>--</v>
      </c>
      <c r="N16" s="240" t="str">
        <f t="shared" ca="1" si="1"/>
        <v>--</v>
      </c>
      <c r="O16" s="226" t="str" cm="1">
        <f t="array" aca="1" ref="O16" ca="1">IFERROR(INDEX($A$34:$M$112,MATCH(WorkSheet!$E$3&amp;Replicates!B16,$A$34:$A$112&amp;$J$34:$J$112,0),MATCH($O$6,$A$34:$M$34,0)),"")</f>
        <v/>
      </c>
      <c r="P16" s="226" t="str" cm="1">
        <f t="array" aca="1" ref="P16" ca="1">IFERROR(INDEX($A$34:$M$112,MATCH(WorkSheet!$E$3&amp;Replicates!B16,$A$34:$A$112&amp;$J$34:$J$112,0),MATCH($P$6,$A$34:$M$34,0)),"")</f>
        <v/>
      </c>
      <c r="Q16" s="216" t="str">
        <f t="shared" ca="1" si="6"/>
        <v>--</v>
      </c>
      <c r="R16" s="217" t="str">
        <f t="shared" ref="R16:R24" ca="1" si="11">IF(Q16="--","--",$C$3)</f>
        <v>--</v>
      </c>
      <c r="S16" s="223" t="str">
        <f t="shared" ca="1" si="7"/>
        <v>--</v>
      </c>
      <c r="T16" s="223" t="str">
        <f t="shared" ca="1" si="8"/>
        <v>--</v>
      </c>
      <c r="U16" s="223" t="str">
        <f t="shared" ca="1" si="9"/>
        <v>--</v>
      </c>
      <c r="V16" s="216" t="str">
        <f t="shared" ca="1" si="10"/>
        <v/>
      </c>
    </row>
    <row r="17" spans="1:23" ht="30" customHeight="1" thickBot="1" x14ac:dyDescent="0.3">
      <c r="A17" s="249" t="str">
        <f t="shared" ca="1" si="0"/>
        <v/>
      </c>
      <c r="B17" s="250" t="str">
        <f ca="1">IF(sample1!B29="--","--",LEFT(sample1!B29,2))</f>
        <v>--</v>
      </c>
      <c r="C17" s="510" t="str">
        <f ca="1">IF(sample1!V29="--",sample1!O29,sample1!AB29)</f>
        <v>--</v>
      </c>
      <c r="D17" s="511"/>
      <c r="E17" s="512" t="str">
        <f ca="1">IF(sample2!V29="--",sample2!O29,sample2!AB29)</f>
        <v>--</v>
      </c>
      <c r="F17" s="512"/>
      <c r="G17" s="513" t="str">
        <f t="shared" ca="1" si="2"/>
        <v>--</v>
      </c>
      <c r="H17" s="513"/>
      <c r="I17" s="514" t="str">
        <f t="shared" ca="1" si="3"/>
        <v>--</v>
      </c>
      <c r="J17" s="515"/>
      <c r="K17" s="251" t="s">
        <v>259</v>
      </c>
      <c r="L17" s="255" t="str">
        <f t="shared" ca="1" si="4"/>
        <v/>
      </c>
      <c r="M17" s="252" t="str">
        <f t="shared" ca="1" si="5"/>
        <v>--</v>
      </c>
      <c r="N17" s="240" t="str">
        <f t="shared" ca="1" si="1"/>
        <v>--</v>
      </c>
      <c r="O17" s="226" t="str" cm="1">
        <f t="array" aca="1" ref="O17" ca="1">IFERROR(INDEX($A$34:$M$112,MATCH(WorkSheet!$E$3&amp;Replicates!B17,$A$34:$A$112&amp;$J$34:$J$112,0),MATCH($O$6,$A$34:$M$34,0)),"")</f>
        <v/>
      </c>
      <c r="P17" s="226" t="str" cm="1">
        <f t="array" aca="1" ref="P17" ca="1">IFERROR(INDEX($A$34:$M$112,MATCH(WorkSheet!$E$3&amp;Replicates!B17,$A$34:$A$112&amp;$J$34:$J$112,0),MATCH($P$6,$A$34:$M$34,0)),"")</f>
        <v/>
      </c>
      <c r="Q17" s="216" t="str">
        <f t="shared" ca="1" si="6"/>
        <v>--</v>
      </c>
      <c r="R17" s="217" t="str">
        <f t="shared" ca="1" si="11"/>
        <v>--</v>
      </c>
      <c r="S17" s="223" t="str">
        <f t="shared" ca="1" si="7"/>
        <v>--</v>
      </c>
      <c r="T17" s="223" t="str">
        <f t="shared" ca="1" si="8"/>
        <v>--</v>
      </c>
      <c r="U17" s="223" t="str">
        <f t="shared" ca="1" si="9"/>
        <v>--</v>
      </c>
      <c r="V17" s="216" t="str">
        <f t="shared" ca="1" si="10"/>
        <v/>
      </c>
    </row>
    <row r="18" spans="1:23" s="195" customFormat="1" ht="20.100000000000001" customHeight="1" x14ac:dyDescent="0.25">
      <c r="A18" s="194"/>
      <c r="K18" s="196"/>
      <c r="L18" s="197"/>
      <c r="M18" s="197"/>
      <c r="N18" s="197"/>
      <c r="O18" s="197"/>
      <c r="P18" s="197"/>
      <c r="Q18" s="216" t="str">
        <f t="shared" ca="1" si="6"/>
        <v>--</v>
      </c>
      <c r="R18" s="217" t="str">
        <f t="shared" ca="1" si="11"/>
        <v>--</v>
      </c>
      <c r="S18" s="223" t="str">
        <f t="shared" ca="1" si="7"/>
        <v>--</v>
      </c>
      <c r="T18" s="223" t="str">
        <f t="shared" ca="1" si="8"/>
        <v>--</v>
      </c>
      <c r="U18" s="223" t="str">
        <f t="shared" ca="1" si="9"/>
        <v>--</v>
      </c>
      <c r="V18" s="216" t="str">
        <f t="shared" ca="1" si="10"/>
        <v/>
      </c>
      <c r="W18" s="196"/>
    </row>
    <row r="19" spans="1:23" s="195" customFormat="1" ht="20.100000000000001" customHeight="1" x14ac:dyDescent="0.25">
      <c r="A19" s="194" t="s">
        <v>297</v>
      </c>
      <c r="K19" s="196"/>
      <c r="L19" s="197"/>
      <c r="M19" s="197"/>
      <c r="N19" s="197"/>
      <c r="O19" s="197"/>
      <c r="P19" s="197"/>
      <c r="Q19" s="216" t="str">
        <f t="shared" ca="1" si="6"/>
        <v>--</v>
      </c>
      <c r="R19" s="217" t="str">
        <f t="shared" ca="1" si="11"/>
        <v>--</v>
      </c>
      <c r="S19" s="223" t="str">
        <f t="shared" ref="S19:S24" ca="1" si="12">C12</f>
        <v>--</v>
      </c>
      <c r="T19" s="223" t="str">
        <f t="shared" ref="T19:T24" ca="1" si="13">E12</f>
        <v>--</v>
      </c>
      <c r="U19" s="223" t="str">
        <f t="shared" ca="1" si="9"/>
        <v>--</v>
      </c>
      <c r="V19" s="216" t="str">
        <f t="shared" ca="1" si="10"/>
        <v/>
      </c>
      <c r="W19" s="196"/>
    </row>
    <row r="20" spans="1:23" s="195" customFormat="1" ht="20.100000000000001" customHeight="1" x14ac:dyDescent="0.25">
      <c r="A20" s="198" t="s">
        <v>298</v>
      </c>
      <c r="B20" s="487" t="s">
        <v>299</v>
      </c>
      <c r="C20" s="487"/>
      <c r="D20" s="487"/>
      <c r="E20" s="487"/>
      <c r="F20" s="487"/>
      <c r="G20" s="487"/>
      <c r="H20" s="487"/>
      <c r="I20" s="487"/>
      <c r="J20" s="487"/>
      <c r="K20" s="487"/>
      <c r="L20" s="487"/>
      <c r="M20" s="487"/>
      <c r="N20" s="230"/>
      <c r="Q20" s="216" t="str">
        <f t="shared" ca="1" si="6"/>
        <v>--</v>
      </c>
      <c r="R20" s="217" t="str">
        <f t="shared" ca="1" si="11"/>
        <v>--</v>
      </c>
      <c r="S20" s="223" t="str">
        <f t="shared" ca="1" si="12"/>
        <v>--</v>
      </c>
      <c r="T20" s="223" t="str">
        <f t="shared" ca="1" si="13"/>
        <v>--</v>
      </c>
      <c r="U20" s="223" t="str">
        <f t="shared" ca="1" si="9"/>
        <v>--</v>
      </c>
      <c r="V20" s="216" t="str">
        <f t="shared" ca="1" si="10"/>
        <v/>
      </c>
    </row>
    <row r="21" spans="1:23" s="195" customFormat="1" ht="20.100000000000001" customHeight="1" x14ac:dyDescent="0.25">
      <c r="A21" s="199"/>
      <c r="B21" s="487"/>
      <c r="C21" s="487"/>
      <c r="D21" s="487"/>
      <c r="E21" s="487"/>
      <c r="F21" s="487"/>
      <c r="G21" s="487"/>
      <c r="H21" s="487"/>
      <c r="I21" s="487"/>
      <c r="J21" s="487"/>
      <c r="K21" s="487"/>
      <c r="L21" s="487"/>
      <c r="M21" s="487"/>
      <c r="N21" s="230"/>
      <c r="Q21" s="216" t="str">
        <f t="shared" ca="1" si="6"/>
        <v>--</v>
      </c>
      <c r="R21" s="217" t="str">
        <f t="shared" ca="1" si="11"/>
        <v>--</v>
      </c>
      <c r="S21" s="223" t="str">
        <f t="shared" ca="1" si="12"/>
        <v>--</v>
      </c>
      <c r="T21" s="223" t="str">
        <f t="shared" ca="1" si="13"/>
        <v>--</v>
      </c>
      <c r="U21" s="223" t="str">
        <f t="shared" ca="1" si="9"/>
        <v>--</v>
      </c>
      <c r="V21" s="216" t="str">
        <f t="shared" ca="1" si="10"/>
        <v/>
      </c>
    </row>
    <row r="22" spans="1:23" s="195" customFormat="1" ht="20.100000000000001" customHeight="1" x14ac:dyDescent="0.25">
      <c r="A22" s="200"/>
      <c r="B22" s="201"/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Q22" s="216" t="str">
        <f t="shared" ca="1" si="6"/>
        <v>--</v>
      </c>
      <c r="R22" s="217" t="str">
        <f t="shared" ca="1" si="11"/>
        <v>--</v>
      </c>
      <c r="S22" s="223" t="str">
        <f t="shared" ca="1" si="12"/>
        <v>--</v>
      </c>
      <c r="T22" s="223" t="str">
        <f t="shared" ca="1" si="13"/>
        <v>--</v>
      </c>
      <c r="U22" s="223" t="str">
        <f t="shared" ca="1" si="9"/>
        <v>--</v>
      </c>
      <c r="V22" s="216" t="str">
        <f t="shared" ca="1" si="10"/>
        <v/>
      </c>
    </row>
    <row r="23" spans="1:23" s="195" customFormat="1" ht="20.100000000000001" customHeight="1" x14ac:dyDescent="0.25">
      <c r="A23" s="200"/>
      <c r="B23" s="201"/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Q23" s="216" t="str">
        <f ca="1">B16</f>
        <v>--</v>
      </c>
      <c r="R23" s="217" t="str">
        <f t="shared" ca="1" si="11"/>
        <v>--</v>
      </c>
      <c r="S23" s="223" t="str">
        <f t="shared" ca="1" si="12"/>
        <v>--</v>
      </c>
      <c r="T23" s="223" t="str">
        <f t="shared" ca="1" si="13"/>
        <v>--</v>
      </c>
      <c r="U23" s="223" t="str">
        <f t="shared" ca="1" si="9"/>
        <v>--</v>
      </c>
      <c r="V23" s="216" t="str">
        <f t="shared" ca="1" si="10"/>
        <v/>
      </c>
    </row>
    <row r="24" spans="1:23" s="195" customFormat="1" ht="20.100000000000001" customHeight="1" x14ac:dyDescent="0.25">
      <c r="A24" s="200"/>
      <c r="B24" s="201"/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Q24" s="216" t="str">
        <f t="shared" ca="1" si="6"/>
        <v>--</v>
      </c>
      <c r="R24" s="217" t="str">
        <f t="shared" ca="1" si="11"/>
        <v>--</v>
      </c>
      <c r="S24" s="223" t="str">
        <f t="shared" ca="1" si="12"/>
        <v>--</v>
      </c>
      <c r="T24" s="223" t="str">
        <f t="shared" ca="1" si="13"/>
        <v>--</v>
      </c>
      <c r="U24" s="223" t="str">
        <f t="shared" ca="1" si="9"/>
        <v>--</v>
      </c>
      <c r="V24" s="216" t="str">
        <f t="shared" ca="1" si="10"/>
        <v/>
      </c>
    </row>
    <row r="25" spans="1:23" s="195" customFormat="1" ht="20.100000000000001" customHeight="1" x14ac:dyDescent="0.25">
      <c r="A25" s="200"/>
      <c r="B25" s="201"/>
      <c r="C25" s="201"/>
      <c r="D25" s="201"/>
      <c r="E25" s="201"/>
      <c r="F25" s="201"/>
      <c r="G25" s="201"/>
      <c r="H25" s="201"/>
      <c r="I25" s="201"/>
      <c r="J25" s="201"/>
      <c r="K25" s="201"/>
      <c r="L25" s="201"/>
    </row>
    <row r="26" spans="1:23" s="195" customFormat="1" ht="20.100000000000001" customHeight="1" x14ac:dyDescent="0.25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1"/>
      <c r="L26" s="201"/>
    </row>
    <row r="27" spans="1:23" s="195" customFormat="1" ht="20.100000000000001" customHeight="1" x14ac:dyDescent="0.25">
      <c r="A27" s="200"/>
      <c r="B27" s="201"/>
      <c r="C27" s="201"/>
      <c r="D27" s="201"/>
      <c r="E27" s="201"/>
      <c r="F27" s="201"/>
      <c r="G27" s="201"/>
      <c r="H27" s="201"/>
      <c r="I27" s="201"/>
      <c r="J27" s="201"/>
      <c r="K27" s="201"/>
      <c r="L27" s="201"/>
    </row>
    <row r="28" spans="1:23" s="195" customFormat="1" ht="20.100000000000001" customHeight="1" x14ac:dyDescent="0.25">
      <c r="B28" s="201"/>
      <c r="C28" s="201"/>
      <c r="D28" s="201"/>
    </row>
    <row r="29" spans="1:23" s="195" customFormat="1" ht="20.100000000000001" customHeight="1" x14ac:dyDescent="0.25">
      <c r="B29" s="202"/>
      <c r="C29" s="202"/>
      <c r="D29" s="202"/>
      <c r="E29" s="202"/>
      <c r="F29" s="202"/>
      <c r="G29" s="202"/>
      <c r="H29" s="202"/>
      <c r="I29" s="202"/>
      <c r="J29" s="202"/>
      <c r="K29" s="202"/>
      <c r="L29" s="202"/>
    </row>
    <row r="30" spans="1:23" s="203" customFormat="1" ht="20.25" thickBot="1" x14ac:dyDescent="0.35">
      <c r="A30" s="517" t="s">
        <v>355</v>
      </c>
      <c r="B30" s="517"/>
      <c r="C30" s="220"/>
      <c r="D30" s="516" t="str">
        <f ca="1">IF(WorkSheet!Y56="--",IF(WorkSheet!T58="","",IF(D30="",TEXT(NOW(),"YYYY/mm/dd hh:mm"),D30)),WorkSheet!Y56)</f>
        <v/>
      </c>
      <c r="E30" s="516"/>
      <c r="F30" s="516"/>
      <c r="G30" s="517" t="s">
        <v>356</v>
      </c>
      <c r="H30" s="517"/>
      <c r="I30" s="517"/>
      <c r="J30" s="219"/>
      <c r="K30" s="219"/>
      <c r="L30" s="219"/>
      <c r="M30" s="219"/>
      <c r="N30" s="238"/>
    </row>
    <row r="31" spans="1:23" s="204" customFormat="1" x14ac:dyDescent="0.25"/>
    <row r="34" spans="1:14" ht="30" customHeight="1" x14ac:dyDescent="0.25">
      <c r="A34" s="519" t="s">
        <v>320</v>
      </c>
      <c r="B34" s="519"/>
      <c r="C34" s="519"/>
      <c r="D34" s="519"/>
      <c r="E34" s="519"/>
      <c r="F34" s="519"/>
      <c r="G34" s="519"/>
      <c r="H34" s="519"/>
      <c r="I34" s="519"/>
      <c r="J34" s="207" t="s">
        <v>300</v>
      </c>
      <c r="K34" s="518" t="s">
        <v>350</v>
      </c>
      <c r="L34" s="518"/>
      <c r="M34" s="232" t="s">
        <v>363</v>
      </c>
      <c r="N34" s="235"/>
    </row>
    <row r="35" spans="1:14" ht="15" x14ac:dyDescent="0.25">
      <c r="A35" s="520" t="s">
        <v>321</v>
      </c>
      <c r="B35" s="521"/>
      <c r="C35" s="521"/>
      <c r="D35" s="521"/>
      <c r="E35" s="521"/>
      <c r="F35" s="521"/>
      <c r="G35" s="521"/>
      <c r="H35" s="521"/>
      <c r="I35" s="522"/>
      <c r="J35" s="205" t="s">
        <v>305</v>
      </c>
      <c r="K35" s="478">
        <v>15</v>
      </c>
      <c r="L35" s="478"/>
      <c r="M35" s="233">
        <v>9.6</v>
      </c>
      <c r="N35" s="239"/>
    </row>
    <row r="36" spans="1:14" ht="15" x14ac:dyDescent="0.25">
      <c r="A36" s="520" t="s">
        <v>321</v>
      </c>
      <c r="B36" s="521"/>
      <c r="C36" s="521"/>
      <c r="D36" s="521"/>
      <c r="E36" s="521"/>
      <c r="F36" s="521"/>
      <c r="G36" s="521"/>
      <c r="H36" s="521"/>
      <c r="I36" s="522"/>
      <c r="J36" s="205" t="s">
        <v>306</v>
      </c>
      <c r="K36" s="478">
        <v>15</v>
      </c>
      <c r="L36" s="478"/>
      <c r="M36" s="233">
        <v>7.9</v>
      </c>
      <c r="N36" s="239"/>
    </row>
    <row r="37" spans="1:14" ht="15" x14ac:dyDescent="0.25">
      <c r="A37" s="520" t="s">
        <v>321</v>
      </c>
      <c r="B37" s="521"/>
      <c r="C37" s="521"/>
      <c r="D37" s="521"/>
      <c r="E37" s="521"/>
      <c r="F37" s="521"/>
      <c r="G37" s="521"/>
      <c r="H37" s="521"/>
      <c r="I37" s="522"/>
      <c r="J37" s="205" t="s">
        <v>304</v>
      </c>
      <c r="K37" s="478">
        <v>15</v>
      </c>
      <c r="L37" s="478"/>
      <c r="M37" s="233">
        <v>14.1</v>
      </c>
      <c r="N37" s="239"/>
    </row>
    <row r="38" spans="1:14" ht="15" x14ac:dyDescent="0.25">
      <c r="A38" s="520" t="s">
        <v>321</v>
      </c>
      <c r="B38" s="521"/>
      <c r="C38" s="521"/>
      <c r="D38" s="521"/>
      <c r="E38" s="521"/>
      <c r="F38" s="521"/>
      <c r="G38" s="521"/>
      <c r="H38" s="521"/>
      <c r="I38" s="522"/>
      <c r="J38" s="205" t="s">
        <v>310</v>
      </c>
      <c r="K38" s="478">
        <v>15</v>
      </c>
      <c r="L38" s="478"/>
      <c r="M38" s="233">
        <v>7.3</v>
      </c>
      <c r="N38" s="239"/>
    </row>
    <row r="39" spans="1:14" ht="15" x14ac:dyDescent="0.25">
      <c r="A39" s="520" t="s">
        <v>321</v>
      </c>
      <c r="B39" s="521"/>
      <c r="C39" s="521"/>
      <c r="D39" s="521"/>
      <c r="E39" s="521"/>
      <c r="F39" s="521"/>
      <c r="G39" s="521"/>
      <c r="H39" s="521"/>
      <c r="I39" s="522"/>
      <c r="J39" s="205" t="s">
        <v>303</v>
      </c>
      <c r="K39" s="478">
        <v>15</v>
      </c>
      <c r="L39" s="478"/>
      <c r="M39" s="233">
        <v>14.3</v>
      </c>
      <c r="N39" s="239"/>
    </row>
    <row r="40" spans="1:14" ht="15" x14ac:dyDescent="0.25">
      <c r="A40" s="520" t="s">
        <v>321</v>
      </c>
      <c r="B40" s="521"/>
      <c r="C40" s="521"/>
      <c r="D40" s="521"/>
      <c r="E40" s="521"/>
      <c r="F40" s="521"/>
      <c r="G40" s="521"/>
      <c r="H40" s="521"/>
      <c r="I40" s="522"/>
      <c r="J40" s="205" t="s">
        <v>311</v>
      </c>
      <c r="K40" s="478">
        <v>15</v>
      </c>
      <c r="L40" s="478"/>
      <c r="M40" s="233">
        <v>10.9</v>
      </c>
      <c r="N40" s="239"/>
    </row>
    <row r="41" spans="1:14" ht="15" x14ac:dyDescent="0.25">
      <c r="A41" s="520" t="s">
        <v>321</v>
      </c>
      <c r="B41" s="521"/>
      <c r="C41" s="521"/>
      <c r="D41" s="521"/>
      <c r="E41" s="521"/>
      <c r="F41" s="521"/>
      <c r="G41" s="521"/>
      <c r="H41" s="521"/>
      <c r="I41" s="522"/>
      <c r="J41" s="205" t="s">
        <v>302</v>
      </c>
      <c r="K41" s="478">
        <v>15</v>
      </c>
      <c r="L41" s="478"/>
      <c r="M41" s="233">
        <v>10.6</v>
      </c>
      <c r="N41" s="239"/>
    </row>
    <row r="42" spans="1:14" ht="15" x14ac:dyDescent="0.25">
      <c r="A42" s="520" t="s">
        <v>321</v>
      </c>
      <c r="B42" s="521"/>
      <c r="C42" s="521"/>
      <c r="D42" s="521"/>
      <c r="E42" s="521"/>
      <c r="F42" s="521"/>
      <c r="G42" s="521"/>
      <c r="H42" s="521"/>
      <c r="I42" s="522"/>
      <c r="J42" s="205" t="s">
        <v>307</v>
      </c>
      <c r="K42" s="478">
        <v>15</v>
      </c>
      <c r="L42" s="478"/>
      <c r="M42" s="233">
        <v>6.3</v>
      </c>
      <c r="N42" s="239"/>
    </row>
    <row r="43" spans="1:14" ht="15" x14ac:dyDescent="0.25">
      <c r="A43" s="520" t="s">
        <v>321</v>
      </c>
      <c r="B43" s="521"/>
      <c r="C43" s="521"/>
      <c r="D43" s="521"/>
      <c r="E43" s="521"/>
      <c r="F43" s="521"/>
      <c r="G43" s="521"/>
      <c r="H43" s="521"/>
      <c r="I43" s="522"/>
      <c r="J43" s="205" t="s">
        <v>308</v>
      </c>
      <c r="K43" s="478">
        <v>15</v>
      </c>
      <c r="L43" s="478"/>
      <c r="M43" s="233">
        <v>10.1</v>
      </c>
      <c r="N43" s="239"/>
    </row>
    <row r="44" spans="1:14" ht="15" x14ac:dyDescent="0.25">
      <c r="A44" s="520" t="s">
        <v>321</v>
      </c>
      <c r="B44" s="521"/>
      <c r="C44" s="521"/>
      <c r="D44" s="521"/>
      <c r="E44" s="521"/>
      <c r="F44" s="521"/>
      <c r="G44" s="521"/>
      <c r="H44" s="521"/>
      <c r="I44" s="522"/>
      <c r="J44" s="205" t="s">
        <v>309</v>
      </c>
      <c r="K44" s="478">
        <v>10</v>
      </c>
      <c r="L44" s="478"/>
      <c r="M44" s="233">
        <v>10.9</v>
      </c>
      <c r="N44" s="239"/>
    </row>
    <row r="45" spans="1:14" ht="15" x14ac:dyDescent="0.25">
      <c r="A45" s="520" t="s">
        <v>321</v>
      </c>
      <c r="B45" s="521"/>
      <c r="C45" s="521"/>
      <c r="D45" s="521"/>
      <c r="E45" s="521"/>
      <c r="F45" s="521"/>
      <c r="G45" s="521"/>
      <c r="H45" s="521"/>
      <c r="I45" s="522"/>
      <c r="J45" s="205" t="s">
        <v>301</v>
      </c>
      <c r="K45" s="478">
        <v>10</v>
      </c>
      <c r="L45" s="478"/>
      <c r="M45" s="233">
        <v>8.6</v>
      </c>
      <c r="N45" s="239"/>
    </row>
    <row r="46" spans="1:14" ht="15" x14ac:dyDescent="0.25">
      <c r="A46" s="477" t="s">
        <v>322</v>
      </c>
      <c r="B46" s="477"/>
      <c r="C46" s="477"/>
      <c r="D46" s="477"/>
      <c r="E46" s="477"/>
      <c r="F46" s="477"/>
      <c r="G46" s="477"/>
      <c r="H46" s="477"/>
      <c r="I46" s="477"/>
      <c r="J46" s="206" t="s">
        <v>304</v>
      </c>
      <c r="K46" s="478">
        <v>10</v>
      </c>
      <c r="L46" s="478"/>
      <c r="M46" s="233">
        <v>8.3956247252657477</v>
      </c>
      <c r="N46" s="239"/>
    </row>
    <row r="47" spans="1:14" ht="15" x14ac:dyDescent="0.25">
      <c r="A47" s="477" t="s">
        <v>322</v>
      </c>
      <c r="B47" s="477"/>
      <c r="C47" s="477"/>
      <c r="D47" s="477"/>
      <c r="E47" s="477"/>
      <c r="F47" s="477"/>
      <c r="G47" s="477"/>
      <c r="H47" s="477"/>
      <c r="I47" s="477"/>
      <c r="J47" s="206" t="s">
        <v>303</v>
      </c>
      <c r="K47" s="478">
        <v>15</v>
      </c>
      <c r="L47" s="478"/>
      <c r="M47" s="233">
        <v>8.8076965678849017</v>
      </c>
      <c r="N47" s="239"/>
    </row>
    <row r="48" spans="1:14" ht="15" x14ac:dyDescent="0.25">
      <c r="A48" s="477" t="s">
        <v>322</v>
      </c>
      <c r="B48" s="477"/>
      <c r="C48" s="477"/>
      <c r="D48" s="477"/>
      <c r="E48" s="477"/>
      <c r="F48" s="477"/>
      <c r="G48" s="477"/>
      <c r="H48" s="477"/>
      <c r="I48" s="477"/>
      <c r="J48" s="206" t="s">
        <v>302</v>
      </c>
      <c r="K48" s="478">
        <v>15</v>
      </c>
      <c r="L48" s="478"/>
      <c r="M48" s="233">
        <v>11.404875835308928</v>
      </c>
      <c r="N48" s="239"/>
    </row>
    <row r="49" spans="1:14" ht="15" x14ac:dyDescent="0.25">
      <c r="A49" s="477" t="s">
        <v>322</v>
      </c>
      <c r="B49" s="477"/>
      <c r="C49" s="477"/>
      <c r="D49" s="477"/>
      <c r="E49" s="477"/>
      <c r="F49" s="477"/>
      <c r="G49" s="477"/>
      <c r="H49" s="477"/>
      <c r="I49" s="477"/>
      <c r="J49" s="206" t="s">
        <v>309</v>
      </c>
      <c r="K49" s="478">
        <v>15</v>
      </c>
      <c r="L49" s="478"/>
      <c r="M49" s="233">
        <v>11.007163865651922</v>
      </c>
      <c r="N49" s="239"/>
    </row>
    <row r="50" spans="1:14" ht="15" x14ac:dyDescent="0.25">
      <c r="A50" s="477" t="s">
        <v>322</v>
      </c>
      <c r="B50" s="477"/>
      <c r="C50" s="477"/>
      <c r="D50" s="477"/>
      <c r="E50" s="477"/>
      <c r="F50" s="477"/>
      <c r="G50" s="477"/>
      <c r="H50" s="477"/>
      <c r="I50" s="477"/>
      <c r="J50" s="206" t="s">
        <v>301</v>
      </c>
      <c r="K50" s="478">
        <v>10</v>
      </c>
      <c r="L50" s="478"/>
      <c r="M50" s="233">
        <v>8.3863620764062414</v>
      </c>
      <c r="N50" s="239"/>
    </row>
    <row r="51" spans="1:14" ht="15" x14ac:dyDescent="0.25">
      <c r="A51" s="477" t="s">
        <v>323</v>
      </c>
      <c r="B51" s="477"/>
      <c r="C51" s="477"/>
      <c r="D51" s="477"/>
      <c r="E51" s="477"/>
      <c r="F51" s="477"/>
      <c r="G51" s="477"/>
      <c r="H51" s="477"/>
      <c r="I51" s="477"/>
      <c r="J51" s="206" t="s">
        <v>412</v>
      </c>
      <c r="K51" s="478">
        <v>15</v>
      </c>
      <c r="L51" s="478"/>
      <c r="M51" s="233">
        <v>15</v>
      </c>
      <c r="N51" s="239"/>
    </row>
    <row r="52" spans="1:14" ht="15" x14ac:dyDescent="0.25">
      <c r="A52" s="477" t="s">
        <v>323</v>
      </c>
      <c r="B52" s="477"/>
      <c r="C52" s="477"/>
      <c r="D52" s="477"/>
      <c r="E52" s="477"/>
      <c r="F52" s="477"/>
      <c r="G52" s="477"/>
      <c r="H52" s="477"/>
      <c r="I52" s="477"/>
      <c r="J52" s="206" t="s">
        <v>305</v>
      </c>
      <c r="K52" s="478">
        <v>15</v>
      </c>
      <c r="L52" s="478"/>
      <c r="M52" s="233">
        <v>10.1</v>
      </c>
      <c r="N52" s="239"/>
    </row>
    <row r="53" spans="1:14" ht="15" x14ac:dyDescent="0.25">
      <c r="A53" s="477" t="s">
        <v>323</v>
      </c>
      <c r="B53" s="477"/>
      <c r="C53" s="477"/>
      <c r="D53" s="477"/>
      <c r="E53" s="477"/>
      <c r="F53" s="477"/>
      <c r="G53" s="477"/>
      <c r="H53" s="477"/>
      <c r="I53" s="477"/>
      <c r="J53" s="206" t="s">
        <v>408</v>
      </c>
      <c r="K53" s="478">
        <v>15</v>
      </c>
      <c r="L53" s="478"/>
      <c r="M53" s="233">
        <v>11</v>
      </c>
      <c r="N53" s="239"/>
    </row>
    <row r="54" spans="1:14" ht="15" x14ac:dyDescent="0.25">
      <c r="A54" s="477" t="s">
        <v>323</v>
      </c>
      <c r="B54" s="477"/>
      <c r="C54" s="477"/>
      <c r="D54" s="477"/>
      <c r="E54" s="477"/>
      <c r="F54" s="477"/>
      <c r="G54" s="477"/>
      <c r="H54" s="477"/>
      <c r="I54" s="477"/>
      <c r="J54" s="206" t="s">
        <v>306</v>
      </c>
      <c r="K54" s="478">
        <v>15</v>
      </c>
      <c r="L54" s="478"/>
      <c r="M54" s="233">
        <v>11.8</v>
      </c>
      <c r="N54" s="239"/>
    </row>
    <row r="55" spans="1:14" ht="15" x14ac:dyDescent="0.25">
      <c r="A55" s="477" t="s">
        <v>323</v>
      </c>
      <c r="B55" s="477"/>
      <c r="C55" s="477"/>
      <c r="D55" s="477"/>
      <c r="E55" s="477"/>
      <c r="F55" s="477"/>
      <c r="G55" s="477"/>
      <c r="H55" s="477"/>
      <c r="I55" s="477"/>
      <c r="J55" s="206" t="s">
        <v>303</v>
      </c>
      <c r="K55" s="478">
        <v>15</v>
      </c>
      <c r="L55" s="478"/>
      <c r="M55" s="233">
        <v>10.1</v>
      </c>
      <c r="N55" s="239"/>
    </row>
    <row r="56" spans="1:14" ht="15" x14ac:dyDescent="0.25">
      <c r="A56" s="477" t="s">
        <v>323</v>
      </c>
      <c r="B56" s="477"/>
      <c r="C56" s="477"/>
      <c r="D56" s="477"/>
      <c r="E56" s="477"/>
      <c r="F56" s="477"/>
      <c r="G56" s="477"/>
      <c r="H56" s="477"/>
      <c r="I56" s="477"/>
      <c r="J56" s="206" t="s">
        <v>409</v>
      </c>
      <c r="K56" s="478">
        <v>15</v>
      </c>
      <c r="L56" s="478"/>
      <c r="M56" s="233">
        <v>13.5</v>
      </c>
      <c r="N56" s="239"/>
    </row>
    <row r="57" spans="1:14" ht="15" x14ac:dyDescent="0.25">
      <c r="A57" s="477" t="s">
        <v>323</v>
      </c>
      <c r="B57" s="477"/>
      <c r="C57" s="477"/>
      <c r="D57" s="477"/>
      <c r="E57" s="477"/>
      <c r="F57" s="477"/>
      <c r="G57" s="477"/>
      <c r="H57" s="477"/>
      <c r="I57" s="477"/>
      <c r="J57" s="206" t="s">
        <v>410</v>
      </c>
      <c r="K57" s="478">
        <v>15</v>
      </c>
      <c r="L57" s="478"/>
      <c r="M57" s="233">
        <v>10</v>
      </c>
      <c r="N57" s="239"/>
    </row>
    <row r="58" spans="1:14" ht="15" x14ac:dyDescent="0.25">
      <c r="A58" s="477" t="s">
        <v>323</v>
      </c>
      <c r="B58" s="477"/>
      <c r="C58" s="477"/>
      <c r="D58" s="477"/>
      <c r="E58" s="477"/>
      <c r="F58" s="477"/>
      <c r="G58" s="477"/>
      <c r="H58" s="477"/>
      <c r="I58" s="477"/>
      <c r="J58" s="206" t="s">
        <v>302</v>
      </c>
      <c r="K58" s="478">
        <v>15</v>
      </c>
      <c r="L58" s="478"/>
      <c r="M58" s="233">
        <v>8.8000000000000007</v>
      </c>
      <c r="N58" s="239"/>
    </row>
    <row r="59" spans="1:14" ht="15" x14ac:dyDescent="0.25">
      <c r="A59" s="477" t="s">
        <v>323</v>
      </c>
      <c r="B59" s="477"/>
      <c r="C59" s="477"/>
      <c r="D59" s="477"/>
      <c r="E59" s="477"/>
      <c r="F59" s="477"/>
      <c r="G59" s="477"/>
      <c r="H59" s="477"/>
      <c r="I59" s="477"/>
      <c r="J59" s="206" t="s">
        <v>308</v>
      </c>
      <c r="K59" s="478">
        <v>15</v>
      </c>
      <c r="L59" s="478"/>
      <c r="M59" s="233">
        <v>9.8000000000000007</v>
      </c>
      <c r="N59" s="239"/>
    </row>
    <row r="60" spans="1:14" ht="15" x14ac:dyDescent="0.25">
      <c r="A60" s="477" t="s">
        <v>323</v>
      </c>
      <c r="B60" s="477"/>
      <c r="C60" s="477"/>
      <c r="D60" s="477"/>
      <c r="E60" s="477"/>
      <c r="F60" s="477"/>
      <c r="G60" s="477"/>
      <c r="H60" s="477"/>
      <c r="I60" s="477"/>
      <c r="J60" s="206" t="s">
        <v>413</v>
      </c>
      <c r="K60" s="478">
        <v>15</v>
      </c>
      <c r="L60" s="478"/>
      <c r="M60" s="233">
        <v>15</v>
      </c>
      <c r="N60" s="239"/>
    </row>
    <row r="61" spans="1:14" ht="15" x14ac:dyDescent="0.25">
      <c r="A61" s="477" t="s">
        <v>323</v>
      </c>
      <c r="B61" s="477"/>
      <c r="C61" s="477"/>
      <c r="D61" s="477"/>
      <c r="E61" s="477"/>
      <c r="F61" s="477"/>
      <c r="G61" s="477"/>
      <c r="H61" s="477"/>
      <c r="I61" s="477"/>
      <c r="J61" s="206" t="s">
        <v>411</v>
      </c>
      <c r="K61" s="478">
        <v>15</v>
      </c>
      <c r="L61" s="478"/>
      <c r="M61" s="233">
        <v>9.5</v>
      </c>
      <c r="N61" s="239"/>
    </row>
    <row r="62" spans="1:14" ht="15" x14ac:dyDescent="0.25">
      <c r="A62" s="477" t="s">
        <v>323</v>
      </c>
      <c r="B62" s="477"/>
      <c r="C62" s="477"/>
      <c r="D62" s="477"/>
      <c r="E62" s="477"/>
      <c r="F62" s="477"/>
      <c r="G62" s="477"/>
      <c r="H62" s="477"/>
      <c r="I62" s="477"/>
      <c r="J62" s="206" t="s">
        <v>414</v>
      </c>
      <c r="K62" s="478">
        <v>15</v>
      </c>
      <c r="L62" s="478"/>
      <c r="M62" s="233">
        <v>15</v>
      </c>
      <c r="N62" s="239"/>
    </row>
    <row r="63" spans="1:14" ht="15" x14ac:dyDescent="0.25">
      <c r="A63" s="477" t="s">
        <v>323</v>
      </c>
      <c r="B63" s="477"/>
      <c r="C63" s="477"/>
      <c r="D63" s="477"/>
      <c r="E63" s="477"/>
      <c r="F63" s="477"/>
      <c r="G63" s="477"/>
      <c r="H63" s="477"/>
      <c r="I63" s="477"/>
      <c r="J63" s="206" t="s">
        <v>309</v>
      </c>
      <c r="K63" s="478">
        <v>15</v>
      </c>
      <c r="L63" s="478"/>
      <c r="M63" s="233">
        <v>8.4</v>
      </c>
      <c r="N63" s="239"/>
    </row>
    <row r="64" spans="1:14" ht="15" x14ac:dyDescent="0.25">
      <c r="A64" s="477" t="s">
        <v>323</v>
      </c>
      <c r="B64" s="477"/>
      <c r="C64" s="477"/>
      <c r="D64" s="477"/>
      <c r="E64" s="477"/>
      <c r="F64" s="477"/>
      <c r="G64" s="477"/>
      <c r="H64" s="477"/>
      <c r="I64" s="477"/>
      <c r="J64" s="206" t="s">
        <v>415</v>
      </c>
      <c r="K64" s="478">
        <v>15</v>
      </c>
      <c r="L64" s="478"/>
      <c r="M64" s="233">
        <v>15</v>
      </c>
      <c r="N64" s="239"/>
    </row>
    <row r="65" spans="1:14" ht="15" x14ac:dyDescent="0.25">
      <c r="A65" s="477" t="s">
        <v>323</v>
      </c>
      <c r="B65" s="477"/>
      <c r="C65" s="477"/>
      <c r="D65" s="477"/>
      <c r="E65" s="477"/>
      <c r="F65" s="477"/>
      <c r="G65" s="477"/>
      <c r="H65" s="477"/>
      <c r="I65" s="477"/>
      <c r="J65" s="206" t="s">
        <v>301</v>
      </c>
      <c r="K65" s="478">
        <v>15</v>
      </c>
      <c r="L65" s="478"/>
      <c r="M65" s="233">
        <v>7.8</v>
      </c>
      <c r="N65" s="239"/>
    </row>
    <row r="66" spans="1:14" ht="15" x14ac:dyDescent="0.25">
      <c r="A66" s="477" t="s">
        <v>323</v>
      </c>
      <c r="B66" s="477"/>
      <c r="C66" s="477"/>
      <c r="D66" s="477"/>
      <c r="E66" s="477"/>
      <c r="F66" s="477"/>
      <c r="G66" s="477"/>
      <c r="H66" s="477"/>
      <c r="I66" s="477"/>
      <c r="J66" s="206" t="s">
        <v>416</v>
      </c>
      <c r="K66" s="478">
        <v>15</v>
      </c>
      <c r="L66" s="478"/>
      <c r="M66" s="233">
        <v>15</v>
      </c>
      <c r="N66" s="239"/>
    </row>
    <row r="67" spans="1:14" ht="15" x14ac:dyDescent="0.25">
      <c r="A67" s="477" t="s">
        <v>324</v>
      </c>
      <c r="B67" s="477"/>
      <c r="C67" s="477"/>
      <c r="D67" s="477"/>
      <c r="E67" s="477"/>
      <c r="F67" s="477"/>
      <c r="G67" s="477"/>
      <c r="H67" s="477"/>
      <c r="I67" s="477"/>
      <c r="J67" s="293" t="s">
        <v>312</v>
      </c>
      <c r="K67" s="478">
        <v>15</v>
      </c>
      <c r="L67" s="478"/>
      <c r="M67" s="294">
        <v>12.589494520758603</v>
      </c>
      <c r="N67" s="239"/>
    </row>
    <row r="68" spans="1:14" ht="15" x14ac:dyDescent="0.25">
      <c r="A68" s="477" t="s">
        <v>324</v>
      </c>
      <c r="B68" s="477"/>
      <c r="C68" s="477"/>
      <c r="D68" s="477"/>
      <c r="E68" s="477"/>
      <c r="F68" s="477"/>
      <c r="G68" s="477"/>
      <c r="H68" s="477"/>
      <c r="I68" s="477"/>
      <c r="J68" s="293" t="s">
        <v>313</v>
      </c>
      <c r="K68" s="478">
        <v>15</v>
      </c>
      <c r="L68" s="478"/>
      <c r="M68" s="294">
        <v>12.691414058717038</v>
      </c>
      <c r="N68" s="239"/>
    </row>
    <row r="69" spans="1:14" ht="15" x14ac:dyDescent="0.25">
      <c r="A69" s="477" t="s">
        <v>324</v>
      </c>
      <c r="B69" s="477"/>
      <c r="C69" s="477"/>
      <c r="D69" s="477"/>
      <c r="E69" s="477"/>
      <c r="F69" s="477"/>
      <c r="G69" s="477"/>
      <c r="H69" s="477"/>
      <c r="I69" s="477"/>
      <c r="J69" s="293" t="s">
        <v>314</v>
      </c>
      <c r="K69" s="478">
        <v>15</v>
      </c>
      <c r="L69" s="478"/>
      <c r="M69" s="294">
        <v>9.2783378983798279</v>
      </c>
      <c r="N69" s="239"/>
    </row>
    <row r="70" spans="1:14" ht="15" x14ac:dyDescent="0.25">
      <c r="A70" s="477" t="s">
        <v>324</v>
      </c>
      <c r="B70" s="477"/>
      <c r="C70" s="477"/>
      <c r="D70" s="477"/>
      <c r="E70" s="477"/>
      <c r="F70" s="477"/>
      <c r="G70" s="477"/>
      <c r="H70" s="477"/>
      <c r="I70" s="477"/>
      <c r="J70" s="293" t="s">
        <v>315</v>
      </c>
      <c r="K70" s="478">
        <v>15</v>
      </c>
      <c r="L70" s="478"/>
      <c r="M70" s="294">
        <v>8.8064498872837245</v>
      </c>
      <c r="N70" s="239"/>
    </row>
    <row r="71" spans="1:14" ht="15" x14ac:dyDescent="0.25">
      <c r="A71" s="477" t="s">
        <v>324</v>
      </c>
      <c r="B71" s="477"/>
      <c r="C71" s="477"/>
      <c r="D71" s="477"/>
      <c r="E71" s="477"/>
      <c r="F71" s="477"/>
      <c r="G71" s="477"/>
      <c r="H71" s="477"/>
      <c r="I71" s="477"/>
      <c r="J71" s="293" t="s">
        <v>316</v>
      </c>
      <c r="K71" s="478">
        <v>15</v>
      </c>
      <c r="L71" s="478"/>
      <c r="M71" s="294">
        <v>8.5677706085730296</v>
      </c>
      <c r="N71" s="239"/>
    </row>
    <row r="72" spans="1:14" ht="15" x14ac:dyDescent="0.25">
      <c r="A72" s="477" t="s">
        <v>325</v>
      </c>
      <c r="B72" s="477"/>
      <c r="C72" s="477"/>
      <c r="D72" s="477"/>
      <c r="E72" s="477"/>
      <c r="F72" s="477"/>
      <c r="G72" s="477"/>
      <c r="H72" s="477"/>
      <c r="I72" s="477"/>
      <c r="J72" s="205" t="s">
        <v>302</v>
      </c>
      <c r="K72" s="478">
        <v>15</v>
      </c>
      <c r="L72" s="478"/>
      <c r="M72" s="233">
        <v>7.27</v>
      </c>
      <c r="N72" s="239"/>
    </row>
    <row r="73" spans="1:14" ht="15" x14ac:dyDescent="0.25">
      <c r="A73" s="477" t="s">
        <v>325</v>
      </c>
      <c r="B73" s="477"/>
      <c r="C73" s="477"/>
      <c r="D73" s="477"/>
      <c r="E73" s="477"/>
      <c r="F73" s="477"/>
      <c r="G73" s="477"/>
      <c r="H73" s="477"/>
      <c r="I73" s="477"/>
      <c r="J73" s="205" t="s">
        <v>301</v>
      </c>
      <c r="K73" s="478">
        <v>15</v>
      </c>
      <c r="L73" s="478"/>
      <c r="M73" s="233">
        <v>6.58</v>
      </c>
      <c r="N73" s="239"/>
    </row>
    <row r="74" spans="1:14" ht="15" x14ac:dyDescent="0.25">
      <c r="A74" s="477" t="s">
        <v>326</v>
      </c>
      <c r="B74" s="477"/>
      <c r="C74" s="477"/>
      <c r="D74" s="477"/>
      <c r="E74" s="477"/>
      <c r="F74" s="477"/>
      <c r="G74" s="477"/>
      <c r="H74" s="477"/>
      <c r="I74" s="477"/>
      <c r="J74" s="205" t="s">
        <v>302</v>
      </c>
      <c r="K74" s="478">
        <v>15</v>
      </c>
      <c r="L74" s="478"/>
      <c r="M74" s="233">
        <v>8.9</v>
      </c>
      <c r="N74" s="239"/>
    </row>
    <row r="75" spans="1:14" ht="15" x14ac:dyDescent="0.25">
      <c r="A75" s="477" t="s">
        <v>326</v>
      </c>
      <c r="B75" s="477"/>
      <c r="C75" s="477"/>
      <c r="D75" s="477"/>
      <c r="E75" s="477"/>
      <c r="F75" s="477"/>
      <c r="G75" s="477"/>
      <c r="H75" s="477"/>
      <c r="I75" s="477"/>
      <c r="J75" s="205" t="s">
        <v>301</v>
      </c>
      <c r="K75" s="478">
        <v>15</v>
      </c>
      <c r="L75" s="478"/>
      <c r="M75" s="233">
        <v>10.199999999999999</v>
      </c>
      <c r="N75" s="239"/>
    </row>
    <row r="76" spans="1:14" ht="15" x14ac:dyDescent="0.25">
      <c r="A76" s="477" t="s">
        <v>327</v>
      </c>
      <c r="B76" s="477"/>
      <c r="C76" s="477"/>
      <c r="D76" s="477"/>
      <c r="E76" s="477"/>
      <c r="F76" s="477"/>
      <c r="G76" s="477"/>
      <c r="H76" s="477"/>
      <c r="I76" s="477"/>
      <c r="J76" s="205" t="s">
        <v>316</v>
      </c>
      <c r="K76" s="478">
        <v>25</v>
      </c>
      <c r="L76" s="478"/>
      <c r="M76" s="233">
        <v>8.6300000000000008</v>
      </c>
      <c r="N76" s="239"/>
    </row>
    <row r="77" spans="1:14" ht="15" x14ac:dyDescent="0.25">
      <c r="A77" s="477" t="s">
        <v>328</v>
      </c>
      <c r="B77" s="477"/>
      <c r="C77" s="477"/>
      <c r="D77" s="477"/>
      <c r="E77" s="477"/>
      <c r="F77" s="477"/>
      <c r="G77" s="477"/>
      <c r="H77" s="477"/>
      <c r="I77" s="477"/>
      <c r="J77" s="295" t="s">
        <v>313</v>
      </c>
      <c r="K77" s="478">
        <v>25</v>
      </c>
      <c r="L77" s="478"/>
      <c r="M77" s="233">
        <v>11.406558828775355</v>
      </c>
      <c r="N77" s="239"/>
    </row>
    <row r="78" spans="1:14" ht="15" x14ac:dyDescent="0.25">
      <c r="A78" s="477" t="s">
        <v>328</v>
      </c>
      <c r="B78" s="477"/>
      <c r="C78" s="477"/>
      <c r="D78" s="477"/>
      <c r="E78" s="477"/>
      <c r="F78" s="477"/>
      <c r="G78" s="477"/>
      <c r="H78" s="477"/>
      <c r="I78" s="477"/>
      <c r="J78" s="295" t="s">
        <v>314</v>
      </c>
      <c r="K78" s="478">
        <v>25</v>
      </c>
      <c r="L78" s="478"/>
      <c r="M78" s="233">
        <v>7.4310891131325949</v>
      </c>
      <c r="N78" s="239"/>
    </row>
    <row r="79" spans="1:14" ht="15" x14ac:dyDescent="0.25">
      <c r="A79" s="477" t="s">
        <v>328</v>
      </c>
      <c r="B79" s="477"/>
      <c r="C79" s="477"/>
      <c r="D79" s="477"/>
      <c r="E79" s="477"/>
      <c r="F79" s="477"/>
      <c r="G79" s="477"/>
      <c r="H79" s="477"/>
      <c r="I79" s="477"/>
      <c r="J79" s="295" t="s">
        <v>317</v>
      </c>
      <c r="K79" s="478">
        <v>25</v>
      </c>
      <c r="L79" s="478"/>
      <c r="M79" s="233">
        <v>8.2632820768729669</v>
      </c>
      <c r="N79" s="239"/>
    </row>
    <row r="80" spans="1:14" ht="15" x14ac:dyDescent="0.25">
      <c r="A80" s="477" t="s">
        <v>328</v>
      </c>
      <c r="B80" s="477"/>
      <c r="C80" s="477"/>
      <c r="D80" s="477"/>
      <c r="E80" s="477"/>
      <c r="F80" s="477"/>
      <c r="G80" s="477"/>
      <c r="H80" s="477"/>
      <c r="I80" s="477"/>
      <c r="J80" s="295" t="s">
        <v>315</v>
      </c>
      <c r="K80" s="478">
        <v>25</v>
      </c>
      <c r="L80" s="478"/>
      <c r="M80" s="233">
        <v>10.488595249835136</v>
      </c>
      <c r="N80" s="239"/>
    </row>
    <row r="81" spans="1:14" ht="15" x14ac:dyDescent="0.25">
      <c r="A81" s="477" t="s">
        <v>328</v>
      </c>
      <c r="B81" s="477"/>
      <c r="C81" s="477"/>
      <c r="D81" s="477"/>
      <c r="E81" s="477"/>
      <c r="F81" s="477"/>
      <c r="G81" s="477"/>
      <c r="H81" s="477"/>
      <c r="I81" s="477"/>
      <c r="J81" s="295" t="s">
        <v>316</v>
      </c>
      <c r="K81" s="478">
        <v>25</v>
      </c>
      <c r="L81" s="478"/>
      <c r="M81" s="233">
        <v>7.1916041353321365</v>
      </c>
      <c r="N81" s="239"/>
    </row>
    <row r="82" spans="1:14" ht="15" x14ac:dyDescent="0.25">
      <c r="A82" s="477" t="s">
        <v>337</v>
      </c>
      <c r="B82" s="477"/>
      <c r="C82" s="477"/>
      <c r="D82" s="477"/>
      <c r="E82" s="477"/>
      <c r="F82" s="477"/>
      <c r="G82" s="477"/>
      <c r="H82" s="477"/>
      <c r="I82" s="477"/>
      <c r="J82" s="205" t="s">
        <v>304</v>
      </c>
      <c r="K82" s="478">
        <v>20</v>
      </c>
      <c r="L82" s="478"/>
      <c r="M82" s="233">
        <v>8.5</v>
      </c>
      <c r="N82" s="239"/>
    </row>
    <row r="83" spans="1:14" ht="15" x14ac:dyDescent="0.25">
      <c r="A83" s="477" t="s">
        <v>337</v>
      </c>
      <c r="B83" s="477"/>
      <c r="C83" s="477"/>
      <c r="D83" s="477"/>
      <c r="E83" s="477"/>
      <c r="F83" s="477"/>
      <c r="G83" s="477"/>
      <c r="H83" s="477"/>
      <c r="I83" s="477"/>
      <c r="J83" s="205" t="s">
        <v>303</v>
      </c>
      <c r="K83" s="478">
        <v>20</v>
      </c>
      <c r="L83" s="478"/>
      <c r="M83" s="233">
        <v>12.6</v>
      </c>
      <c r="N83" s="239"/>
    </row>
    <row r="84" spans="1:14" ht="15" x14ac:dyDescent="0.25">
      <c r="A84" s="477" t="s">
        <v>337</v>
      </c>
      <c r="B84" s="477"/>
      <c r="C84" s="477"/>
      <c r="D84" s="477"/>
      <c r="E84" s="477"/>
      <c r="F84" s="477"/>
      <c r="G84" s="477"/>
      <c r="H84" s="477"/>
      <c r="I84" s="477"/>
      <c r="J84" s="205" t="s">
        <v>308</v>
      </c>
      <c r="K84" s="478">
        <v>15</v>
      </c>
      <c r="L84" s="478"/>
      <c r="M84" s="233">
        <v>9.9</v>
      </c>
      <c r="N84" s="239"/>
    </row>
    <row r="85" spans="1:14" ht="15" x14ac:dyDescent="0.25">
      <c r="A85" s="477" t="s">
        <v>337</v>
      </c>
      <c r="B85" s="477"/>
      <c r="C85" s="477"/>
      <c r="D85" s="477"/>
      <c r="E85" s="477"/>
      <c r="F85" s="477"/>
      <c r="G85" s="477"/>
      <c r="H85" s="477"/>
      <c r="I85" s="477"/>
      <c r="J85" s="205" t="s">
        <v>301</v>
      </c>
      <c r="K85" s="478">
        <v>20</v>
      </c>
      <c r="L85" s="478"/>
      <c r="M85" s="233">
        <v>10</v>
      </c>
      <c r="N85" s="239"/>
    </row>
    <row r="86" spans="1:14" ht="15" x14ac:dyDescent="0.25">
      <c r="A86" s="477" t="s">
        <v>336</v>
      </c>
      <c r="B86" s="477"/>
      <c r="C86" s="477"/>
      <c r="D86" s="477"/>
      <c r="E86" s="477"/>
      <c r="F86" s="477"/>
      <c r="G86" s="477"/>
      <c r="H86" s="477"/>
      <c r="I86" s="477"/>
      <c r="J86" s="205" t="s">
        <v>316</v>
      </c>
      <c r="K86" s="478">
        <v>20</v>
      </c>
      <c r="L86" s="478"/>
      <c r="M86" s="233">
        <v>11.1</v>
      </c>
      <c r="N86" s="239"/>
    </row>
    <row r="87" spans="1:14" ht="15" x14ac:dyDescent="0.25">
      <c r="A87" s="477" t="s">
        <v>338</v>
      </c>
      <c r="B87" s="477"/>
      <c r="C87" s="477"/>
      <c r="D87" s="477"/>
      <c r="E87" s="477"/>
      <c r="F87" s="477"/>
      <c r="G87" s="477"/>
      <c r="H87" s="477"/>
      <c r="I87" s="477"/>
      <c r="J87" s="296" t="s">
        <v>302</v>
      </c>
      <c r="K87" s="478">
        <v>20</v>
      </c>
      <c r="L87" s="478"/>
      <c r="M87" s="233">
        <v>10.69</v>
      </c>
      <c r="N87" s="239"/>
    </row>
    <row r="88" spans="1:14" ht="15" x14ac:dyDescent="0.25">
      <c r="A88" s="477" t="s">
        <v>338</v>
      </c>
      <c r="B88" s="477"/>
      <c r="C88" s="477"/>
      <c r="D88" s="477"/>
      <c r="E88" s="477"/>
      <c r="F88" s="477"/>
      <c r="G88" s="477"/>
      <c r="H88" s="477"/>
      <c r="I88" s="477"/>
      <c r="J88" s="296" t="s">
        <v>309</v>
      </c>
      <c r="K88" s="478">
        <v>20</v>
      </c>
      <c r="L88" s="478"/>
      <c r="M88" s="233">
        <v>7.6</v>
      </c>
      <c r="N88" s="239"/>
    </row>
    <row r="89" spans="1:14" ht="15" x14ac:dyDescent="0.25">
      <c r="A89" s="477" t="s">
        <v>338</v>
      </c>
      <c r="B89" s="477"/>
      <c r="C89" s="477"/>
      <c r="D89" s="477"/>
      <c r="E89" s="477"/>
      <c r="F89" s="477"/>
      <c r="G89" s="477"/>
      <c r="H89" s="477"/>
      <c r="I89" s="477"/>
      <c r="J89" s="296" t="s">
        <v>301</v>
      </c>
      <c r="K89" s="478">
        <v>20</v>
      </c>
      <c r="L89" s="478"/>
      <c r="M89" s="233">
        <v>9.01</v>
      </c>
      <c r="N89" s="239"/>
    </row>
    <row r="90" spans="1:14" ht="15" x14ac:dyDescent="0.25">
      <c r="A90" s="477" t="s">
        <v>339</v>
      </c>
      <c r="B90" s="477"/>
      <c r="C90" s="477"/>
      <c r="D90" s="477"/>
      <c r="E90" s="477"/>
      <c r="F90" s="477"/>
      <c r="G90" s="477"/>
      <c r="H90" s="477"/>
      <c r="I90" s="477"/>
      <c r="J90" s="296" t="s">
        <v>302</v>
      </c>
      <c r="K90" s="478">
        <v>15</v>
      </c>
      <c r="L90" s="478"/>
      <c r="M90" s="233">
        <v>13.18</v>
      </c>
      <c r="N90" s="239"/>
    </row>
    <row r="91" spans="1:14" ht="15" x14ac:dyDescent="0.25">
      <c r="A91" s="477" t="s">
        <v>339</v>
      </c>
      <c r="B91" s="477"/>
      <c r="C91" s="477"/>
      <c r="D91" s="477"/>
      <c r="E91" s="477"/>
      <c r="F91" s="477"/>
      <c r="G91" s="477"/>
      <c r="H91" s="477"/>
      <c r="I91" s="477"/>
      <c r="J91" s="296" t="s">
        <v>309</v>
      </c>
      <c r="K91" s="478">
        <v>15</v>
      </c>
      <c r="L91" s="478"/>
      <c r="M91" s="233">
        <v>8.2899999999999991</v>
      </c>
      <c r="N91" s="239"/>
    </row>
    <row r="92" spans="1:14" ht="15" x14ac:dyDescent="0.25">
      <c r="A92" s="477" t="s">
        <v>339</v>
      </c>
      <c r="B92" s="477"/>
      <c r="C92" s="477"/>
      <c r="D92" s="477"/>
      <c r="E92" s="477"/>
      <c r="F92" s="477"/>
      <c r="G92" s="477"/>
      <c r="H92" s="477"/>
      <c r="I92" s="477"/>
      <c r="J92" s="296" t="s">
        <v>301</v>
      </c>
      <c r="K92" s="478">
        <v>15</v>
      </c>
      <c r="L92" s="478"/>
      <c r="M92" s="233">
        <v>10.039999999999999</v>
      </c>
      <c r="N92" s="239"/>
    </row>
    <row r="93" spans="1:14" ht="15" x14ac:dyDescent="0.25">
      <c r="A93" s="477" t="s">
        <v>340</v>
      </c>
      <c r="B93" s="477"/>
      <c r="C93" s="477"/>
      <c r="D93" s="477"/>
      <c r="E93" s="477"/>
      <c r="F93" s="477"/>
      <c r="G93" s="477"/>
      <c r="H93" s="477"/>
      <c r="I93" s="477"/>
      <c r="J93" s="295" t="s">
        <v>312</v>
      </c>
      <c r="K93" s="478">
        <v>15</v>
      </c>
      <c r="L93" s="478"/>
      <c r="M93" s="233">
        <v>8.0002038659525567</v>
      </c>
      <c r="N93" s="239"/>
    </row>
    <row r="94" spans="1:14" ht="15" x14ac:dyDescent="0.25">
      <c r="A94" s="477" t="s">
        <v>340</v>
      </c>
      <c r="B94" s="477"/>
      <c r="C94" s="477"/>
      <c r="D94" s="477"/>
      <c r="E94" s="477"/>
      <c r="F94" s="477"/>
      <c r="G94" s="477"/>
      <c r="H94" s="477"/>
      <c r="I94" s="477"/>
      <c r="J94" s="295" t="s">
        <v>316</v>
      </c>
      <c r="K94" s="478">
        <v>15</v>
      </c>
      <c r="L94" s="478"/>
      <c r="M94" s="233">
        <v>6.3557550326229917</v>
      </c>
      <c r="N94" s="239"/>
    </row>
    <row r="95" spans="1:14" ht="15" x14ac:dyDescent="0.25">
      <c r="A95" s="477" t="s">
        <v>341</v>
      </c>
      <c r="B95" s="477"/>
      <c r="C95" s="477"/>
      <c r="D95" s="477"/>
      <c r="E95" s="477"/>
      <c r="F95" s="477"/>
      <c r="G95" s="477"/>
      <c r="H95" s="477"/>
      <c r="I95" s="477"/>
      <c r="J95" s="205" t="s">
        <v>316</v>
      </c>
      <c r="K95" s="478">
        <v>15</v>
      </c>
      <c r="L95" s="478"/>
      <c r="M95" s="233">
        <v>9.1999999999999993</v>
      </c>
      <c r="N95" s="239"/>
    </row>
    <row r="96" spans="1:14" ht="15" x14ac:dyDescent="0.25">
      <c r="A96" s="477" t="s">
        <v>342</v>
      </c>
      <c r="B96" s="477"/>
      <c r="C96" s="477"/>
      <c r="D96" s="477"/>
      <c r="E96" s="477"/>
      <c r="F96" s="477"/>
      <c r="G96" s="477"/>
      <c r="H96" s="477"/>
      <c r="I96" s="477"/>
      <c r="J96" s="295" t="s">
        <v>313</v>
      </c>
      <c r="K96" s="478">
        <v>15</v>
      </c>
      <c r="L96" s="478"/>
      <c r="M96" s="233">
        <v>16.001975617505263</v>
      </c>
      <c r="N96" s="239"/>
    </row>
    <row r="97" spans="1:14" ht="15" x14ac:dyDescent="0.25">
      <c r="A97" s="477" t="s">
        <v>342</v>
      </c>
      <c r="B97" s="477"/>
      <c r="C97" s="477"/>
      <c r="D97" s="477"/>
      <c r="E97" s="477"/>
      <c r="F97" s="477"/>
      <c r="G97" s="477"/>
      <c r="H97" s="477"/>
      <c r="I97" s="477"/>
      <c r="J97" s="295" t="s">
        <v>314</v>
      </c>
      <c r="K97" s="478">
        <v>15</v>
      </c>
      <c r="L97" s="478"/>
      <c r="M97" s="233">
        <v>12.1</v>
      </c>
      <c r="N97" s="239"/>
    </row>
    <row r="98" spans="1:14" ht="15" x14ac:dyDescent="0.25">
      <c r="A98" s="477" t="s">
        <v>342</v>
      </c>
      <c r="B98" s="477"/>
      <c r="C98" s="477"/>
      <c r="D98" s="477"/>
      <c r="E98" s="477"/>
      <c r="F98" s="477"/>
      <c r="G98" s="477"/>
      <c r="H98" s="477"/>
      <c r="I98" s="477"/>
      <c r="J98" s="295" t="s">
        <v>315</v>
      </c>
      <c r="K98" s="478">
        <v>15</v>
      </c>
      <c r="L98" s="478"/>
      <c r="M98" s="233">
        <v>10.642467236980476</v>
      </c>
      <c r="N98" s="239"/>
    </row>
    <row r="99" spans="1:14" ht="15" x14ac:dyDescent="0.25">
      <c r="A99" s="477" t="s">
        <v>342</v>
      </c>
      <c r="B99" s="477"/>
      <c r="C99" s="477"/>
      <c r="D99" s="477"/>
      <c r="E99" s="477"/>
      <c r="F99" s="477"/>
      <c r="G99" s="477"/>
      <c r="H99" s="477"/>
      <c r="I99" s="477"/>
      <c r="J99" s="295" t="s">
        <v>316</v>
      </c>
      <c r="K99" s="478">
        <v>20</v>
      </c>
      <c r="L99" s="478"/>
      <c r="M99" s="233">
        <v>8.1635268809220687</v>
      </c>
      <c r="N99" s="239"/>
    </row>
    <row r="100" spans="1:14" ht="15" x14ac:dyDescent="0.25">
      <c r="A100" s="477" t="s">
        <v>343</v>
      </c>
      <c r="B100" s="477"/>
      <c r="C100" s="477"/>
      <c r="D100" s="477"/>
      <c r="E100" s="477"/>
      <c r="F100" s="477"/>
      <c r="G100" s="477"/>
      <c r="H100" s="477"/>
      <c r="I100" s="477"/>
      <c r="J100" s="206" t="s">
        <v>313</v>
      </c>
      <c r="K100" s="478">
        <v>20</v>
      </c>
      <c r="L100" s="478"/>
      <c r="M100" s="233">
        <v>9.4</v>
      </c>
      <c r="N100" s="239"/>
    </row>
    <row r="101" spans="1:14" ht="15" x14ac:dyDescent="0.25">
      <c r="A101" s="477" t="s">
        <v>344</v>
      </c>
      <c r="B101" s="477"/>
      <c r="C101" s="477"/>
      <c r="D101" s="477"/>
      <c r="E101" s="477"/>
      <c r="F101" s="477"/>
      <c r="G101" s="477"/>
      <c r="H101" s="477"/>
      <c r="I101" s="477"/>
      <c r="J101" s="205" t="s">
        <v>318</v>
      </c>
      <c r="K101" s="478">
        <v>15</v>
      </c>
      <c r="L101" s="478"/>
      <c r="M101" s="233">
        <v>12.3</v>
      </c>
      <c r="N101" s="239"/>
    </row>
    <row r="102" spans="1:14" ht="15" x14ac:dyDescent="0.25">
      <c r="A102" s="477" t="s">
        <v>344</v>
      </c>
      <c r="B102" s="477"/>
      <c r="C102" s="477"/>
      <c r="D102" s="477"/>
      <c r="E102" s="477"/>
      <c r="F102" s="477"/>
      <c r="G102" s="477"/>
      <c r="H102" s="477"/>
      <c r="I102" s="477"/>
      <c r="J102" s="205" t="s">
        <v>319</v>
      </c>
      <c r="K102" s="478">
        <v>15</v>
      </c>
      <c r="L102" s="478"/>
      <c r="M102" s="233">
        <v>14.1</v>
      </c>
      <c r="N102" s="239"/>
    </row>
    <row r="103" spans="1:14" ht="15" x14ac:dyDescent="0.25">
      <c r="A103" s="477" t="s">
        <v>345</v>
      </c>
      <c r="B103" s="477"/>
      <c r="C103" s="477"/>
      <c r="D103" s="477"/>
      <c r="E103" s="477"/>
      <c r="F103" s="477"/>
      <c r="G103" s="477"/>
      <c r="H103" s="477"/>
      <c r="I103" s="477"/>
      <c r="J103" s="205" t="s">
        <v>318</v>
      </c>
      <c r="K103" s="478">
        <v>15</v>
      </c>
      <c r="L103" s="478"/>
      <c r="M103" s="233">
        <v>12.1</v>
      </c>
      <c r="N103" s="239"/>
    </row>
    <row r="104" spans="1:14" ht="15" x14ac:dyDescent="0.25">
      <c r="A104" s="477" t="s">
        <v>345</v>
      </c>
      <c r="B104" s="477"/>
      <c r="C104" s="477"/>
      <c r="D104" s="477"/>
      <c r="E104" s="477"/>
      <c r="F104" s="477"/>
      <c r="G104" s="477"/>
      <c r="H104" s="477"/>
      <c r="I104" s="477"/>
      <c r="J104" s="205" t="s">
        <v>319</v>
      </c>
      <c r="K104" s="478">
        <v>15</v>
      </c>
      <c r="L104" s="478"/>
      <c r="M104" s="233">
        <v>13.4</v>
      </c>
      <c r="N104" s="239"/>
    </row>
    <row r="105" spans="1:14" ht="15" x14ac:dyDescent="0.25">
      <c r="A105" s="477" t="s">
        <v>346</v>
      </c>
      <c r="B105" s="477"/>
      <c r="C105" s="477"/>
      <c r="D105" s="477"/>
      <c r="E105" s="477"/>
      <c r="F105" s="477"/>
      <c r="G105" s="477"/>
      <c r="H105" s="477"/>
      <c r="I105" s="477"/>
      <c r="J105" s="205" t="s">
        <v>318</v>
      </c>
      <c r="K105" s="478">
        <v>15</v>
      </c>
      <c r="L105" s="478"/>
      <c r="M105" s="233">
        <v>7.4</v>
      </c>
      <c r="N105" s="239"/>
    </row>
    <row r="106" spans="1:14" ht="15" x14ac:dyDescent="0.25">
      <c r="A106" s="477" t="s">
        <v>347</v>
      </c>
      <c r="B106" s="477"/>
      <c r="C106" s="477"/>
      <c r="D106" s="477"/>
      <c r="E106" s="477"/>
      <c r="F106" s="477"/>
      <c r="G106" s="477"/>
      <c r="H106" s="477"/>
      <c r="I106" s="477"/>
      <c r="J106" s="296" t="s">
        <v>303</v>
      </c>
      <c r="K106" s="478">
        <v>15</v>
      </c>
      <c r="L106" s="478"/>
      <c r="M106" s="233">
        <v>15</v>
      </c>
      <c r="N106" s="239"/>
    </row>
    <row r="107" spans="1:14" ht="15" x14ac:dyDescent="0.25">
      <c r="A107" s="477" t="s">
        <v>347</v>
      </c>
      <c r="B107" s="477"/>
      <c r="C107" s="477"/>
      <c r="D107" s="477"/>
      <c r="E107" s="477"/>
      <c r="F107" s="477"/>
      <c r="G107" s="477"/>
      <c r="H107" s="477"/>
      <c r="I107" s="477"/>
      <c r="J107" s="296" t="s">
        <v>309</v>
      </c>
      <c r="K107" s="478">
        <v>15</v>
      </c>
      <c r="L107" s="478"/>
      <c r="M107" s="233">
        <v>11.19</v>
      </c>
      <c r="N107" s="239"/>
    </row>
    <row r="108" spans="1:14" ht="15" x14ac:dyDescent="0.25">
      <c r="A108" s="477" t="s">
        <v>347</v>
      </c>
      <c r="B108" s="477"/>
      <c r="C108" s="477"/>
      <c r="D108" s="477"/>
      <c r="E108" s="477"/>
      <c r="F108" s="477"/>
      <c r="G108" s="477"/>
      <c r="H108" s="477"/>
      <c r="I108" s="477"/>
      <c r="J108" s="296" t="s">
        <v>301</v>
      </c>
      <c r="K108" s="478">
        <v>15</v>
      </c>
      <c r="L108" s="478"/>
      <c r="M108" s="233">
        <v>9.07</v>
      </c>
      <c r="N108" s="239"/>
    </row>
    <row r="109" spans="1:14" ht="15" x14ac:dyDescent="0.25">
      <c r="A109" s="477" t="s">
        <v>349</v>
      </c>
      <c r="B109" s="477"/>
      <c r="C109" s="477"/>
      <c r="D109" s="477"/>
      <c r="E109" s="477"/>
      <c r="F109" s="477"/>
      <c r="G109" s="477"/>
      <c r="H109" s="477"/>
      <c r="I109" s="477"/>
      <c r="J109" s="297" t="s">
        <v>302</v>
      </c>
      <c r="K109" s="478">
        <v>15</v>
      </c>
      <c r="L109" s="478"/>
      <c r="M109" s="233">
        <v>11.8</v>
      </c>
      <c r="N109" s="239"/>
    </row>
    <row r="110" spans="1:14" ht="15" x14ac:dyDescent="0.25">
      <c r="A110" s="477" t="s">
        <v>349</v>
      </c>
      <c r="B110" s="477"/>
      <c r="C110" s="477"/>
      <c r="D110" s="477"/>
      <c r="E110" s="477"/>
      <c r="F110" s="477"/>
      <c r="G110" s="477"/>
      <c r="H110" s="477"/>
      <c r="I110" s="477"/>
      <c r="J110" s="297" t="s">
        <v>301</v>
      </c>
      <c r="K110" s="478">
        <v>25</v>
      </c>
      <c r="L110" s="478"/>
      <c r="M110" s="233">
        <v>11.94</v>
      </c>
      <c r="N110" s="239"/>
    </row>
    <row r="111" spans="1:14" ht="15" x14ac:dyDescent="0.25">
      <c r="A111" s="477" t="s">
        <v>348</v>
      </c>
      <c r="B111" s="477"/>
      <c r="C111" s="477"/>
      <c r="D111" s="477"/>
      <c r="E111" s="477"/>
      <c r="F111" s="477"/>
      <c r="G111" s="477"/>
      <c r="H111" s="477"/>
      <c r="I111" s="477"/>
      <c r="J111" s="297" t="s">
        <v>302</v>
      </c>
      <c r="K111" s="478">
        <v>25</v>
      </c>
      <c r="L111" s="478"/>
      <c r="M111" s="233">
        <v>13.1</v>
      </c>
      <c r="N111" s="239"/>
    </row>
    <row r="112" spans="1:14" ht="15" x14ac:dyDescent="0.25">
      <c r="A112" s="477" t="s">
        <v>348</v>
      </c>
      <c r="B112" s="477"/>
      <c r="C112" s="477"/>
      <c r="D112" s="477"/>
      <c r="E112" s="477"/>
      <c r="F112" s="477"/>
      <c r="G112" s="477"/>
      <c r="H112" s="477"/>
      <c r="I112" s="477"/>
      <c r="J112" s="297" t="s">
        <v>301</v>
      </c>
      <c r="K112" s="478">
        <v>20</v>
      </c>
      <c r="L112" s="478"/>
      <c r="M112" s="233">
        <v>8.98</v>
      </c>
      <c r="N112" s="239"/>
    </row>
  </sheetData>
  <sheetProtection sheet="1" objects="1" scenarios="1"/>
  <mergeCells count="223">
    <mergeCell ref="A112:I112"/>
    <mergeCell ref="K112:L112"/>
    <mergeCell ref="A34:I34"/>
    <mergeCell ref="A35:I35"/>
    <mergeCell ref="A36:I36"/>
    <mergeCell ref="A37:I37"/>
    <mergeCell ref="A38:I38"/>
    <mergeCell ref="A39:I39"/>
    <mergeCell ref="A40:I40"/>
    <mergeCell ref="A41:I41"/>
    <mergeCell ref="A42:I42"/>
    <mergeCell ref="A43:I43"/>
    <mergeCell ref="A44:I44"/>
    <mergeCell ref="A45:I45"/>
    <mergeCell ref="A46:I46"/>
    <mergeCell ref="A47:I47"/>
    <mergeCell ref="A48:I48"/>
    <mergeCell ref="K107:L107"/>
    <mergeCell ref="K108:L108"/>
    <mergeCell ref="K109:L109"/>
    <mergeCell ref="K110:L110"/>
    <mergeCell ref="K111:L111"/>
    <mergeCell ref="K102:L102"/>
    <mergeCell ref="K103:L103"/>
    <mergeCell ref="K104:L104"/>
    <mergeCell ref="K105:L105"/>
    <mergeCell ref="K106:L106"/>
    <mergeCell ref="K100:L100"/>
    <mergeCell ref="K101:L101"/>
    <mergeCell ref="K99:L99"/>
    <mergeCell ref="K94:L94"/>
    <mergeCell ref="K95:L95"/>
    <mergeCell ref="K96:L96"/>
    <mergeCell ref="K97:L97"/>
    <mergeCell ref="K98:L98"/>
    <mergeCell ref="K89:L89"/>
    <mergeCell ref="K90:L90"/>
    <mergeCell ref="K91:L91"/>
    <mergeCell ref="K92:L92"/>
    <mergeCell ref="K93:L93"/>
    <mergeCell ref="K84:L84"/>
    <mergeCell ref="K85:L85"/>
    <mergeCell ref="K86:L86"/>
    <mergeCell ref="K87:L87"/>
    <mergeCell ref="K88:L88"/>
    <mergeCell ref="K79:L79"/>
    <mergeCell ref="K80:L80"/>
    <mergeCell ref="K81:L81"/>
    <mergeCell ref="K82:L82"/>
    <mergeCell ref="K83:L83"/>
    <mergeCell ref="K74:L74"/>
    <mergeCell ref="K75:L75"/>
    <mergeCell ref="K76:L76"/>
    <mergeCell ref="K77:L77"/>
    <mergeCell ref="K78:L78"/>
    <mergeCell ref="K69:L69"/>
    <mergeCell ref="K70:L70"/>
    <mergeCell ref="K71:L71"/>
    <mergeCell ref="K72:L72"/>
    <mergeCell ref="K73:L73"/>
    <mergeCell ref="K61:L61"/>
    <mergeCell ref="K63:L63"/>
    <mergeCell ref="K65:L65"/>
    <mergeCell ref="K67:L67"/>
    <mergeCell ref="K68:L68"/>
    <mergeCell ref="K55:L55"/>
    <mergeCell ref="K56:L56"/>
    <mergeCell ref="K57:L57"/>
    <mergeCell ref="K58:L58"/>
    <mergeCell ref="K59:L59"/>
    <mergeCell ref="K49:L49"/>
    <mergeCell ref="K50:L50"/>
    <mergeCell ref="K52:L52"/>
    <mergeCell ref="K53:L53"/>
    <mergeCell ref="K54:L54"/>
    <mergeCell ref="K51:L51"/>
    <mergeCell ref="K34:L34"/>
    <mergeCell ref="K35:L35"/>
    <mergeCell ref="K36:L36"/>
    <mergeCell ref="K37:L37"/>
    <mergeCell ref="K38:L38"/>
    <mergeCell ref="K39:L39"/>
    <mergeCell ref="K40:L40"/>
    <mergeCell ref="K41:L41"/>
    <mergeCell ref="K42:L42"/>
    <mergeCell ref="K43:L43"/>
    <mergeCell ref="K44:L44"/>
    <mergeCell ref="K45:L45"/>
    <mergeCell ref="K46:L46"/>
    <mergeCell ref="K47:L47"/>
    <mergeCell ref="K48:L48"/>
    <mergeCell ref="A107:I107"/>
    <mergeCell ref="A108:I108"/>
    <mergeCell ref="A109:I109"/>
    <mergeCell ref="A99:I99"/>
    <mergeCell ref="A94:I94"/>
    <mergeCell ref="A95:I95"/>
    <mergeCell ref="A96:I96"/>
    <mergeCell ref="A97:I97"/>
    <mergeCell ref="A98:I98"/>
    <mergeCell ref="A89:I89"/>
    <mergeCell ref="A90:I90"/>
    <mergeCell ref="A91:I91"/>
    <mergeCell ref="A92:I92"/>
    <mergeCell ref="A93:I93"/>
    <mergeCell ref="A84:I84"/>
    <mergeCell ref="A85:I85"/>
    <mergeCell ref="A86:I86"/>
    <mergeCell ref="A87:I87"/>
    <mergeCell ref="A110:I110"/>
    <mergeCell ref="A111:I111"/>
    <mergeCell ref="A102:I102"/>
    <mergeCell ref="A103:I103"/>
    <mergeCell ref="A104:I104"/>
    <mergeCell ref="A105:I105"/>
    <mergeCell ref="A106:I106"/>
    <mergeCell ref="A100:I100"/>
    <mergeCell ref="A101:I101"/>
    <mergeCell ref="A88:I88"/>
    <mergeCell ref="A79:I79"/>
    <mergeCell ref="A80:I80"/>
    <mergeCell ref="A81:I81"/>
    <mergeCell ref="A82:I82"/>
    <mergeCell ref="A83:I83"/>
    <mergeCell ref="A74:I74"/>
    <mergeCell ref="A75:I75"/>
    <mergeCell ref="A76:I76"/>
    <mergeCell ref="A77:I77"/>
    <mergeCell ref="A78:I78"/>
    <mergeCell ref="A69:I69"/>
    <mergeCell ref="A70:I70"/>
    <mergeCell ref="A71:I71"/>
    <mergeCell ref="A72:I72"/>
    <mergeCell ref="A73:I73"/>
    <mergeCell ref="A61:I61"/>
    <mergeCell ref="A63:I63"/>
    <mergeCell ref="A65:I65"/>
    <mergeCell ref="A67:I67"/>
    <mergeCell ref="A68:I68"/>
    <mergeCell ref="A55:I55"/>
    <mergeCell ref="A56:I56"/>
    <mergeCell ref="A57:I57"/>
    <mergeCell ref="A58:I58"/>
    <mergeCell ref="A59:I59"/>
    <mergeCell ref="A49:I49"/>
    <mergeCell ref="A50:I50"/>
    <mergeCell ref="A52:I52"/>
    <mergeCell ref="A53:I53"/>
    <mergeCell ref="A54:I54"/>
    <mergeCell ref="A51:I51"/>
    <mergeCell ref="E16:F16"/>
    <mergeCell ref="G16:H16"/>
    <mergeCell ref="I16:J16"/>
    <mergeCell ref="C17:D17"/>
    <mergeCell ref="E17:F17"/>
    <mergeCell ref="G17:H17"/>
    <mergeCell ref="I17:J17"/>
    <mergeCell ref="D30:F30"/>
    <mergeCell ref="A30:B30"/>
    <mergeCell ref="G30:I30"/>
    <mergeCell ref="A1:M1"/>
    <mergeCell ref="A3:B3"/>
    <mergeCell ref="C3:I3"/>
    <mergeCell ref="L3:M3"/>
    <mergeCell ref="A5:B6"/>
    <mergeCell ref="C5:D5"/>
    <mergeCell ref="E5:F5"/>
    <mergeCell ref="G5:H5"/>
    <mergeCell ref="I5:J5"/>
    <mergeCell ref="K5:L6"/>
    <mergeCell ref="M5:M6"/>
    <mergeCell ref="C6:D6"/>
    <mergeCell ref="E6:F6"/>
    <mergeCell ref="G6:H6"/>
    <mergeCell ref="I6:J6"/>
    <mergeCell ref="S5:S6"/>
    <mergeCell ref="E11:F11"/>
    <mergeCell ref="G11:H11"/>
    <mergeCell ref="I11:J11"/>
    <mergeCell ref="E12:F12"/>
    <mergeCell ref="G12:H12"/>
    <mergeCell ref="I12:J12"/>
    <mergeCell ref="E13:F13"/>
    <mergeCell ref="C7:D7"/>
    <mergeCell ref="E7:F7"/>
    <mergeCell ref="G7:H7"/>
    <mergeCell ref="I7:J7"/>
    <mergeCell ref="C9:D9"/>
    <mergeCell ref="E9:F9"/>
    <mergeCell ref="C11:D11"/>
    <mergeCell ref="C12:D12"/>
    <mergeCell ref="C13:D13"/>
    <mergeCell ref="G9:H9"/>
    <mergeCell ref="I9:J9"/>
    <mergeCell ref="C10:D10"/>
    <mergeCell ref="E10:F10"/>
    <mergeCell ref="G10:H10"/>
    <mergeCell ref="I10:J10"/>
    <mergeCell ref="C8:D8"/>
    <mergeCell ref="A60:I60"/>
    <mergeCell ref="K60:L60"/>
    <mergeCell ref="A62:I62"/>
    <mergeCell ref="K62:L62"/>
    <mergeCell ref="A64:I64"/>
    <mergeCell ref="K64:L64"/>
    <mergeCell ref="A66:I66"/>
    <mergeCell ref="K66:L66"/>
    <mergeCell ref="R5:R6"/>
    <mergeCell ref="E8:F8"/>
    <mergeCell ref="G8:H8"/>
    <mergeCell ref="I8:J8"/>
    <mergeCell ref="C15:D15"/>
    <mergeCell ref="E15:F15"/>
    <mergeCell ref="G15:H15"/>
    <mergeCell ref="I15:J15"/>
    <mergeCell ref="G13:H13"/>
    <mergeCell ref="I13:J13"/>
    <mergeCell ref="C14:D14"/>
    <mergeCell ref="E14:F14"/>
    <mergeCell ref="G14:H14"/>
    <mergeCell ref="I14:J14"/>
    <mergeCell ref="B20:M21"/>
    <mergeCell ref="C16:D16"/>
  </mergeCells>
  <phoneticPr fontId="2" type="noConversion"/>
  <conditionalFormatting sqref="M7:N17">
    <cfRule type="cellIs" dxfId="4" priority="3" operator="equal">
      <formula>"不符合"</formula>
    </cfRule>
  </conditionalFormatting>
  <conditionalFormatting sqref="I7:J17">
    <cfRule type="cellIs" dxfId="3" priority="2" operator="equal">
      <formula>"--"</formula>
    </cfRule>
  </conditionalFormatting>
  <conditionalFormatting sqref="I7:J17">
    <cfRule type="cellIs" dxfId="2" priority="14" operator="greaterThan">
      <formula>$N7</formula>
    </cfRule>
    <cfRule type="containsBlanks" dxfId="1" priority="15">
      <formula>LEN(TRIM(I7))=0</formula>
    </cfRule>
  </conditionalFormatting>
  <conditionalFormatting sqref="M67:M71">
    <cfRule type="cellIs" dxfId="0" priority="1" operator="equal">
      <formula>$O67</formula>
    </cfRule>
  </conditionalFormatting>
  <pageMargins left="0.59055118110236227" right="0.39370078740157483" top="1.3779527559055118" bottom="0.39370078740157483" header="0.59055118110236227" footer="0.19685039370078741"/>
  <pageSetup paperSize="9" orientation="portrait" r:id="rId1"/>
  <headerFooter scaleWithDoc="0">
    <oddHeader>&amp;L&amp;G</oddHeader>
    <oddFooter xml:space="preserve">&amp;R&amp;"Calibri,Regular"FC17-CHI999-W59e Rev 1.0
Page &amp;[1 of &amp;[1      </oddFooter>
  </headerFooter>
  <colBreaks count="1" manualBreakCount="1">
    <brk id="23" max="1048575" man="1"/>
  </colBreaks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WorkSheet!C20&amp;WorkSheet!G20</f>
        <v>--</v>
      </c>
      <c r="AB3" s="631"/>
      <c r="AC3" s="631"/>
      <c r="AD3" s="631"/>
      <c r="AE3" s="631"/>
      <c r="AF3" s="74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3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IFERROR(INDEX(samplename,MATCH(WorkSheet!C20,Job_No,0)),"--")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10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">
        <v>1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IF(樣品清單!AD3="","--",樣品清單!AD3)</f>
        <v>--</v>
      </c>
      <c r="C19" s="574"/>
      <c r="D19" s="575" t="str">
        <f ca="1">IFERROR(IF(INDEX(測試方法!$A$1:$AZ$98,MATCH(sample1!$D$5,測試方法!$A$1:$A$98,0),MATCH(sample1!B19,測試方法!$A$2:$AZ$2,0))&lt;&gt;"",INDEX(測試方法!$A$1:$AZ$98,MATCH(sample1!$D$5,測試方法!$A$1:$A$98,0),MATCH(sample1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5" t="s">
        <v>0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IF(I19=1,WorkSheet!$AF$20,CONCATENATE(WorkSheet!$AF$20&amp;"D"&amp;I19))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IF(V19=1,WorkSheet!$AF$20,CONCATENATE(WorkSheet!$AF$20&amp;"D"&amp;V19))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IF(樣品清單!AE3="","--",樣品清單!AE3)</f>
        <v>--</v>
      </c>
      <c r="C20" s="553"/>
      <c r="D20" s="554" t="str">
        <f ca="1">IFERROR(IF(INDEX(測試方法!$A$1:$AZ$98,MATCH(sample1!$D$5,測試方法!$A$1:$A$98,0),MATCH(sample1!B20,測試方法!$A$2:$AZ$2,0))&lt;&gt;"",INDEX(測試方法!$A$1:$AZ$98,MATCH(sample1!$D$5,測試方法!$A$1:$A$98,0),MATCH(sample1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IF(I20=1,WorkSheet!$AF$20,CONCATENATE(WorkSheet!$AF$20&amp;"D"&amp;I20))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IF(V20=1,WorkSheet!$AF$20,CONCATENATE(WorkSheet!$AF$20&amp;"D"&amp;V20))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IF(樣品清單!AF3="","--",樣品清單!AF3)</f>
        <v>--</v>
      </c>
      <c r="C21" s="553"/>
      <c r="D21" s="554" t="str">
        <f ca="1">IFERROR(IF(INDEX(測試方法!$A$1:$AZ$98,MATCH(sample1!$D$5,測試方法!$A$1:$A$98,0),MATCH(sample1!B21,測試方法!$A$2:$AZ$2,0))&lt;&gt;"",INDEX(測試方法!$A$1:$AZ$98,MATCH(sample1!$D$5,測試方法!$A$1:$A$98,0),MATCH(sample1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IF(I21=1,WorkSheet!$AF$20,CONCATENATE(WorkSheet!$AF$20&amp;"D"&amp;I21))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IF(V21=1,WorkSheet!$AF$20,CONCATENATE(WorkSheet!$AF$20&amp;"D"&amp;V21))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IF(樣品清單!AG3="","--",樣品清單!AG3)</f>
        <v>--</v>
      </c>
      <c r="C22" s="553"/>
      <c r="D22" s="554" t="str">
        <f ca="1">IFERROR(IF(INDEX(測試方法!$A$1:$AZ$98,MATCH(sample1!$D$5,測試方法!$A$1:$A$98,0),MATCH(sample1!B22,測試方法!$A$2:$AZ$2,0))&lt;&gt;"",INDEX(測試方法!$A$1:$AZ$98,MATCH(sample1!$D$5,測試方法!$A$1:$A$98,0),MATCH(sample1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IF(I22=1,WorkSheet!$AF$20,CONCATENATE(WorkSheet!$AF$20&amp;"D"&amp;I22))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IF(V22=1,WorkSheet!$AF$20,CONCATENATE(WorkSheet!$AF$20&amp;"D"&amp;V22))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IF(樣品清單!AH3="","--",樣品清單!AH3)</f>
        <v>--</v>
      </c>
      <c r="C23" s="553"/>
      <c r="D23" s="554" t="str">
        <f ca="1">IFERROR(IF(INDEX(測試方法!$A$1:$AZ$98,MATCH(sample1!$D$5,測試方法!$A$1:$A$98,0),MATCH(sample1!B23,測試方法!$A$2:$AZ$2,0))&lt;&gt;"",INDEX(測試方法!$A$1:$AZ$98,MATCH(sample1!$D$5,測試方法!$A$1:$A$98,0),MATCH(sample1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IF(I23=1,WorkSheet!$AF$20,CONCATENATE(WorkSheet!$AF$20&amp;"D"&amp;I23))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IF(V23=1,WorkSheet!$AF$20,CONCATENATE(WorkSheet!$AF$20&amp;"D"&amp;V23))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IF(樣品清單!AI3="","--",樣品清單!AI3)</f>
        <v>--</v>
      </c>
      <c r="C24" s="553"/>
      <c r="D24" s="554" t="str">
        <f ca="1">IFERROR(IF(INDEX(測試方法!$A$1:$AZ$98,MATCH(sample1!$D$5,測試方法!$A$1:$A$98,0),MATCH(sample1!B24,測試方法!$A$2:$AZ$2,0))&lt;&gt;"",INDEX(測試方法!$A$1:$AZ$98,MATCH(sample1!$D$5,測試方法!$A$1:$A$98,0),MATCH(sample1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IF(I24=1,WorkSheet!$AF$20,CONCATENATE(WorkSheet!$AF$20&amp;"D"&amp;I24))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IF(V24=1,WorkSheet!$AF$20,CONCATENATE(WorkSheet!$AF$20&amp;"D"&amp;V24))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IF(樣品清單!AJ3="","--",樣品清單!AJ3)</f>
        <v>--</v>
      </c>
      <c r="C25" s="553"/>
      <c r="D25" s="554" t="str">
        <f ca="1">IFERROR(IF(INDEX(測試方法!$A$1:$AZ$98,MATCH(sample1!$D$5,測試方法!$A$1:$A$98,0),MATCH(sample1!B25,測試方法!$A$2:$AZ$2,0))&lt;&gt;"",INDEX(測試方法!$A$1:$AZ$98,MATCH(sample1!$D$5,測試方法!$A$1:$A$98,0),MATCH(sample1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IF(I25=1,WorkSheet!$AF$20,CONCATENATE(WorkSheet!$AF$20&amp;"D"&amp;I25))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IF(V25=1,WorkSheet!$AF$20,CONCATENATE(WorkSheet!$AF$20&amp;"D"&amp;V25))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IF(樣品清單!AK3="","--",樣品清單!AK3)</f>
        <v>--</v>
      </c>
      <c r="C26" s="553"/>
      <c r="D26" s="554" t="str">
        <f ca="1">IFERROR(IF(INDEX(測試方法!$A$1:$AZ$98,MATCH(sample1!$D$5,測試方法!$A$1:$A$98,0),MATCH(sample1!B26,測試方法!$A$2:$AZ$2,0))&lt;&gt;"",INDEX(測試方法!$A$1:$AZ$98,MATCH(sample1!$D$5,測試方法!$A$1:$A$98,0),MATCH(sample1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IF(I26=1,WorkSheet!$AF$20,CONCATENATE(WorkSheet!$AF$20&amp;"D"&amp;I26))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IF(V26=1,WorkSheet!$AF$20,CONCATENATE(WorkSheet!$AF$20&amp;"D"&amp;V26))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IF(樣品清單!AL3="","--",樣品清單!AL3)</f>
        <v>--</v>
      </c>
      <c r="C27" s="553"/>
      <c r="D27" s="554" t="str">
        <f ca="1">IFERROR(IF(INDEX(測試方法!$A$1:$AZ$98,MATCH(sample1!$D$5,測試方法!$A$1:$A$98,0),MATCH(sample1!B27,測試方法!$A$2:$AZ$2,0))&lt;&gt;"",INDEX(測試方法!$A$1:$AZ$98,MATCH(sample1!$D$5,測試方法!$A$1:$A$98,0),MATCH(sample1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IF(I27=1,WorkSheet!$AF$20,CONCATENATE(WorkSheet!$AF$20&amp;"D"&amp;I27))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IF(V27=1,WorkSheet!$AF$20,CONCATENATE(WorkSheet!$AF$20&amp;"D"&amp;V27))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IF(樣品清單!AM3="","--",樣品清單!AM3)</f>
        <v>--</v>
      </c>
      <c r="C28" s="553"/>
      <c r="D28" s="554" t="str">
        <f ca="1">IFERROR(IF(INDEX(測試方法!$A$1:$AZ$98,MATCH(sample1!$D$5,測試方法!$A$1:$A$98,0),MATCH(sample1!B28,測試方法!$A$2:$AZ$2,0))&lt;&gt;"",INDEX(測試方法!$A$1:$AZ$98,MATCH(sample1!$D$5,測試方法!$A$1:$A$98,0),MATCH(sample1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IF(I28=1,WorkSheet!$AF$20,CONCATENATE(WorkSheet!$AF$20&amp;"D"&amp;I28))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IF(V28=1,WorkSheet!$AF$20,CONCATENATE(WorkSheet!$AF$20&amp;"D"&amp;V28))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IF(樣品清單!AN3="","--",樣品清單!AN3)</f>
        <v>--</v>
      </c>
      <c r="C29" s="553"/>
      <c r="D29" s="554" t="str">
        <f ca="1">IFERROR(IF(INDEX(測試方法!$A$1:$AZ$98,MATCH(sample1!$D$5,測試方法!$A$1:$A$98,0),MATCH(sample1!B29,測試方法!$A$2:$AZ$2,0))&lt;&gt;"",INDEX(測試方法!$A$1:$AZ$98,MATCH(sample1!$D$5,測試方法!$A$1:$A$98,0),MATCH(sample1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IF(I29=1,WorkSheet!$AF$20,CONCATENATE(WorkSheet!$AF$20&amp;"D"&amp;I29))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IF(V29=1,WorkSheet!$AF$20,CONCATENATE(WorkSheet!$AF$20&amp;"D"&amp;V29))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IF(樣品清單!AO3="","--",樣品清單!AO3)</f>
        <v>--</v>
      </c>
      <c r="C30" s="553"/>
      <c r="D30" s="554" t="str">
        <f ca="1">IFERROR(IF(INDEX(測試方法!$A$1:$AZ$98,MATCH(sample1!$D$5,測試方法!$A$1:$A$98,0),MATCH(sample1!B30,測試方法!$A$2:$AZ$2,0))&lt;&gt;"",INDEX(測試方法!$A$1:$AZ$98,MATCH(sample1!$D$5,測試方法!$A$1:$A$98,0),MATCH(sample1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IF(I30=1,WorkSheet!$AF$20,CONCATENATE(WorkSheet!$AF$20&amp;"D"&amp;I30))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IF(V30=1,WorkSheet!$AF$20,CONCATENATE(WorkSheet!$AF$20&amp;"D"&amp;V30))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IF(樣品清單!AP3="","--",樣品清單!AP3)</f>
        <v>--</v>
      </c>
      <c r="C31" s="553"/>
      <c r="D31" s="554" t="str">
        <f ca="1">IFERROR(IF(INDEX(測試方法!$A$1:$AZ$98,MATCH(sample1!$D$5,測試方法!$A$1:$A$98,0),MATCH(sample1!B31,測試方法!$A$2:$AZ$2,0))&lt;&gt;"",INDEX(測試方法!$A$1:$AZ$98,MATCH(sample1!$D$5,測試方法!$A$1:$A$98,0),MATCH(sample1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IF(I31=1,WorkSheet!$AF$20,CONCATENATE(WorkSheet!$AF$20&amp;"D"&amp;I31))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IF(V31=1,WorkSheet!$AF$20,CONCATENATE(WorkSheet!$AF$20&amp;"D"&amp;V31))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IF(樣品清單!AR3="","--",樣品清單!AR3)</f>
        <v>--</v>
      </c>
      <c r="C32" s="553"/>
      <c r="D32" s="554" t="str">
        <f ca="1">IFERROR(IF(INDEX(測試方法!$A$1:$AZ$98,MATCH(sample1!$D$5,測試方法!$A$1:$A$98,0),MATCH(sample1!B32,測試方法!$A$2:$AZ$2,0))&lt;&gt;"",INDEX(測試方法!$A$1:$AZ$98,MATCH(sample1!$D$5,測試方法!$A$1:$A$98,0),MATCH(sample1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IF(I32=1,WorkSheet!$AF$20,CONCATENATE(WorkSheet!$AF$20&amp;"D"&amp;I32))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IF(V32=1,WorkSheet!$AF$20,CONCATENATE(WorkSheet!$AF$20&amp;"D"&amp;V32))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IF(樣品清單!AS3="","--",樣品清單!AS3)</f>
        <v>--</v>
      </c>
      <c r="C33" s="553"/>
      <c r="D33" s="554" t="str">
        <f ca="1">IFERROR(IF(INDEX(測試方法!$A$1:$AZ$98,MATCH(sample1!$D$5,測試方法!$A$1:$A$98,0),MATCH(sample1!B33,測試方法!$A$2:$AZ$2,0))&lt;&gt;"",INDEX(測試方法!$A$1:$AZ$98,MATCH(sample1!$D$5,測試方法!$A$1:$A$98,0),MATCH(sample1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IF(I33=1,WorkSheet!$AF$20,CONCATENATE(WorkSheet!$AF$20&amp;"D"&amp;I33))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IF(V33=1,WorkSheet!$AF$20,CONCATENATE(WorkSheet!$AF$20&amp;"D"&amp;V33))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IF(樣品清單!AT3="","--",樣品清單!AT3)</f>
        <v>--</v>
      </c>
      <c r="C34" s="553"/>
      <c r="D34" s="554" t="str">
        <f ca="1">IFERROR(IF(INDEX(測試方法!$A$1:$AZ$98,MATCH(sample1!$D$5,測試方法!$A$1:$A$98,0),MATCH(sample1!B34,測試方法!$A$2:$AZ$2,0))&lt;&gt;"",INDEX(測試方法!$A$1:$AZ$98,MATCH(sample1!$D$5,測試方法!$A$1:$A$98,0),MATCH(sample1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IF(I34=1,WorkSheet!$AF$20,CONCATENATE(WorkSheet!$AF$20&amp;"D"&amp;I34))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IF(V34=1,WorkSheet!$AF$20,CONCATENATE(WorkSheet!$AF$20&amp;"D"&amp;V34))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IF(樣品清單!AU3="","--",樣品清單!AU3)</f>
        <v>--</v>
      </c>
      <c r="C35" s="553"/>
      <c r="D35" s="554" t="str">
        <f ca="1">IFERROR(IF(INDEX(測試方法!$A$1:$AZ$98,MATCH(sample1!$D$5,測試方法!$A$1:$A$98,0),MATCH(sample1!B35,測試方法!$A$2:$AZ$2,0))&lt;&gt;"",INDEX(測試方法!$A$1:$AZ$98,MATCH(sample1!$D$5,測試方法!$A$1:$A$98,0),MATCH(sample1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IF(I35=1,WorkSheet!$AF$20,CONCATENATE(WorkSheet!$AF$20&amp;"D"&amp;I35))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IF(V35=1,WorkSheet!$AF$20,CONCATENATE(WorkSheet!$AF$20&amp;"D"&amp;V35))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IF(樣品清單!AV3="","--",樣品清單!AV3)</f>
        <v>--</v>
      </c>
      <c r="C36" s="541"/>
      <c r="D36" s="542" t="str">
        <f ca="1">IFERROR(IF(INDEX(測試方法!$A$1:$AZ$98,MATCH(sample1!$D$5,測試方法!$A$1:$A$98,0),MATCH(sample1!B36,測試方法!$A$2:$AZ$2,0))&lt;&gt;"",INDEX(測試方法!$A$1:$AZ$98,MATCH(sample1!$D$5,測試方法!$A$1:$A$98,0),MATCH(sample1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IF(I36=1,WorkSheet!$AF$20,CONCATENATE(WorkSheet!$AF$20&amp;"D"&amp;I36))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IF(V36=1,WorkSheet!$AF$20,CONCATENATE(WorkSheet!$AF$20&amp;"D"&amp;V36))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I39" s="3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4:M44"/>
    <mergeCell ref="A2:AE2"/>
    <mergeCell ref="AI2:AS2"/>
    <mergeCell ref="X3:Z3"/>
    <mergeCell ref="AA3:AE3"/>
    <mergeCell ref="AI3:AS3"/>
    <mergeCell ref="AI4:AS4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I5:AT5"/>
    <mergeCell ref="A6:C6"/>
    <mergeCell ref="D6:AE6"/>
    <mergeCell ref="AI6:AS6"/>
    <mergeCell ref="B10:C10"/>
    <mergeCell ref="D10:E10"/>
    <mergeCell ref="H10:J10"/>
    <mergeCell ref="K10:L10"/>
    <mergeCell ref="O10:Q10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M12:AD12"/>
    <mergeCell ref="W9:AB9"/>
    <mergeCell ref="AC9:AD9"/>
    <mergeCell ref="AI9:AS9"/>
    <mergeCell ref="V16:W17"/>
    <mergeCell ref="X16:AA16"/>
    <mergeCell ref="AB16:AE16"/>
    <mergeCell ref="AG16:AJ16"/>
    <mergeCell ref="F17:H17"/>
    <mergeCell ref="K17:N17"/>
    <mergeCell ref="O17:R17"/>
    <mergeCell ref="S17:U17"/>
    <mergeCell ref="X17:AA17"/>
    <mergeCell ref="F16:H16"/>
    <mergeCell ref="I16:J17"/>
    <mergeCell ref="K16:N16"/>
    <mergeCell ref="O16:R16"/>
    <mergeCell ref="AB17:AE17"/>
    <mergeCell ref="AG17:AV17"/>
    <mergeCell ref="AB18:AE18"/>
    <mergeCell ref="AG18:AJ18"/>
    <mergeCell ref="AK18:AN18"/>
    <mergeCell ref="AO18:AR18"/>
    <mergeCell ref="AS18:AV18"/>
    <mergeCell ref="B19:C19"/>
    <mergeCell ref="D19:E19"/>
    <mergeCell ref="F19:H19"/>
    <mergeCell ref="I19:J19"/>
    <mergeCell ref="K19:N19"/>
    <mergeCell ref="A16:C18"/>
    <mergeCell ref="AK19:AN19"/>
    <mergeCell ref="AO19:AR19"/>
    <mergeCell ref="AS19:AV19"/>
    <mergeCell ref="D18:E18"/>
    <mergeCell ref="F18:H18"/>
    <mergeCell ref="I18:J18"/>
    <mergeCell ref="K18:N18"/>
    <mergeCell ref="O18:R18"/>
    <mergeCell ref="S18:U18"/>
    <mergeCell ref="V18:W18"/>
    <mergeCell ref="X18:AA18"/>
    <mergeCell ref="D16:E17"/>
    <mergeCell ref="S16:U16"/>
    <mergeCell ref="BQ19:BT20"/>
    <mergeCell ref="B20:C20"/>
    <mergeCell ref="D20:E20"/>
    <mergeCell ref="F20:H20"/>
    <mergeCell ref="I20:J20"/>
    <mergeCell ref="K20:N20"/>
    <mergeCell ref="O20:R20"/>
    <mergeCell ref="O19:R19"/>
    <mergeCell ref="S19:U19"/>
    <mergeCell ref="V19:W19"/>
    <mergeCell ref="X19:AA19"/>
    <mergeCell ref="AB19:AE19"/>
    <mergeCell ref="AG19:AJ19"/>
    <mergeCell ref="X21:AA21"/>
    <mergeCell ref="AB21:AE21"/>
    <mergeCell ref="AG21:AJ21"/>
    <mergeCell ref="AK21:AN21"/>
    <mergeCell ref="AO21:AR21"/>
    <mergeCell ref="AS21:AV21"/>
    <mergeCell ref="AO20:AR20"/>
    <mergeCell ref="AS20:AV20"/>
    <mergeCell ref="B21:C21"/>
    <mergeCell ref="D21:E21"/>
    <mergeCell ref="F21:H21"/>
    <mergeCell ref="I21:J21"/>
    <mergeCell ref="K21:N21"/>
    <mergeCell ref="O21:R21"/>
    <mergeCell ref="S21:U21"/>
    <mergeCell ref="V21:W21"/>
    <mergeCell ref="S20:U20"/>
    <mergeCell ref="V20:W20"/>
    <mergeCell ref="X20:AA20"/>
    <mergeCell ref="AB20:AE20"/>
    <mergeCell ref="AG20:AJ20"/>
    <mergeCell ref="AK20:AN20"/>
    <mergeCell ref="AS23:AV23"/>
    <mergeCell ref="AO22:AR22"/>
    <mergeCell ref="AS22:AV22"/>
    <mergeCell ref="B23:C23"/>
    <mergeCell ref="D23:E23"/>
    <mergeCell ref="F23:H23"/>
    <mergeCell ref="I23:J23"/>
    <mergeCell ref="K23:N23"/>
    <mergeCell ref="O23:R23"/>
    <mergeCell ref="S23:U23"/>
    <mergeCell ref="V23:W23"/>
    <mergeCell ref="S22:U22"/>
    <mergeCell ref="V22:W22"/>
    <mergeCell ref="X22:AA22"/>
    <mergeCell ref="AB22:AE22"/>
    <mergeCell ref="AG22:AJ22"/>
    <mergeCell ref="AK22:AN22"/>
    <mergeCell ref="B22:C22"/>
    <mergeCell ref="D22:E22"/>
    <mergeCell ref="F22:H22"/>
    <mergeCell ref="I22:J22"/>
    <mergeCell ref="K22:N22"/>
    <mergeCell ref="O22:R22"/>
    <mergeCell ref="F24:H24"/>
    <mergeCell ref="I24:J24"/>
    <mergeCell ref="K24:N24"/>
    <mergeCell ref="O24:R24"/>
    <mergeCell ref="X23:AA23"/>
    <mergeCell ref="AB23:AE23"/>
    <mergeCell ref="AG23:AJ23"/>
    <mergeCell ref="AK23:AN23"/>
    <mergeCell ref="AO23:AR23"/>
    <mergeCell ref="X25:AA25"/>
    <mergeCell ref="AB25:AE25"/>
    <mergeCell ref="AG25:AJ25"/>
    <mergeCell ref="AK25:AN25"/>
    <mergeCell ref="AO25:AR25"/>
    <mergeCell ref="AS25:AV25"/>
    <mergeCell ref="AO24:AR24"/>
    <mergeCell ref="AS24:AV24"/>
    <mergeCell ref="B25:C25"/>
    <mergeCell ref="D25:E25"/>
    <mergeCell ref="F25:H25"/>
    <mergeCell ref="I25:J25"/>
    <mergeCell ref="K25:N25"/>
    <mergeCell ref="O25:R25"/>
    <mergeCell ref="S25:U25"/>
    <mergeCell ref="V25:W25"/>
    <mergeCell ref="S24:U24"/>
    <mergeCell ref="V24:W24"/>
    <mergeCell ref="X24:AA24"/>
    <mergeCell ref="AB24:AE24"/>
    <mergeCell ref="AG24:AJ24"/>
    <mergeCell ref="AK24:AN24"/>
    <mergeCell ref="B24:C24"/>
    <mergeCell ref="D24:E24"/>
    <mergeCell ref="AS27:AV27"/>
    <mergeCell ref="AO26:AR26"/>
    <mergeCell ref="AS26:AV26"/>
    <mergeCell ref="B27:C27"/>
    <mergeCell ref="D27:E27"/>
    <mergeCell ref="F27:H27"/>
    <mergeCell ref="I27:J27"/>
    <mergeCell ref="K27:N27"/>
    <mergeCell ref="O27:R27"/>
    <mergeCell ref="S27:U27"/>
    <mergeCell ref="V27:W27"/>
    <mergeCell ref="S26:U26"/>
    <mergeCell ref="V26:W26"/>
    <mergeCell ref="X26:AA26"/>
    <mergeCell ref="AB26:AE26"/>
    <mergeCell ref="AG26:AJ26"/>
    <mergeCell ref="AK26:AN26"/>
    <mergeCell ref="B26:C26"/>
    <mergeCell ref="D26:E26"/>
    <mergeCell ref="F26:H26"/>
    <mergeCell ref="I26:J26"/>
    <mergeCell ref="K26:N26"/>
    <mergeCell ref="O26:R26"/>
    <mergeCell ref="F28:H28"/>
    <mergeCell ref="I28:J28"/>
    <mergeCell ref="K28:N28"/>
    <mergeCell ref="O28:R28"/>
    <mergeCell ref="X27:AA27"/>
    <mergeCell ref="AB27:AE27"/>
    <mergeCell ref="AG27:AJ27"/>
    <mergeCell ref="AK27:AN27"/>
    <mergeCell ref="AO27:AR27"/>
    <mergeCell ref="X29:AA29"/>
    <mergeCell ref="AB29:AE29"/>
    <mergeCell ref="AG29:AJ29"/>
    <mergeCell ref="AK29:AN29"/>
    <mergeCell ref="AO29:AR29"/>
    <mergeCell ref="AS29:AV29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V29:W29"/>
    <mergeCell ref="S28:U28"/>
    <mergeCell ref="V28:W28"/>
    <mergeCell ref="X28:AA28"/>
    <mergeCell ref="AB28:AE28"/>
    <mergeCell ref="AG28:AJ28"/>
    <mergeCell ref="AK28:AN28"/>
    <mergeCell ref="B28:C28"/>
    <mergeCell ref="D28:E28"/>
    <mergeCell ref="AS31:AV31"/>
    <mergeCell ref="AO30:AR30"/>
    <mergeCell ref="AS30:AV30"/>
    <mergeCell ref="B31:C31"/>
    <mergeCell ref="D31:E31"/>
    <mergeCell ref="F31:H31"/>
    <mergeCell ref="I31:J31"/>
    <mergeCell ref="K31:N31"/>
    <mergeCell ref="O31:R31"/>
    <mergeCell ref="S31:U31"/>
    <mergeCell ref="V31:W31"/>
    <mergeCell ref="S30:U30"/>
    <mergeCell ref="V30:W30"/>
    <mergeCell ref="X30:AA30"/>
    <mergeCell ref="AB30:AE30"/>
    <mergeCell ref="AG30:AJ30"/>
    <mergeCell ref="AK30:AN30"/>
    <mergeCell ref="B30:C30"/>
    <mergeCell ref="D30:E30"/>
    <mergeCell ref="F30:H30"/>
    <mergeCell ref="I30:J30"/>
    <mergeCell ref="K30:N30"/>
    <mergeCell ref="O30:R30"/>
    <mergeCell ref="F32:H32"/>
    <mergeCell ref="I32:J32"/>
    <mergeCell ref="K32:N32"/>
    <mergeCell ref="O32:R32"/>
    <mergeCell ref="X31:AA31"/>
    <mergeCell ref="AB31:AE31"/>
    <mergeCell ref="AG31:AJ31"/>
    <mergeCell ref="AK31:AN31"/>
    <mergeCell ref="AO31:AR31"/>
    <mergeCell ref="X33:AA33"/>
    <mergeCell ref="AB33:AE33"/>
    <mergeCell ref="AG33:AJ33"/>
    <mergeCell ref="AK33:AN33"/>
    <mergeCell ref="AO33:AR33"/>
    <mergeCell ref="AS33:AV33"/>
    <mergeCell ref="AO32:AR32"/>
    <mergeCell ref="AS32:AV32"/>
    <mergeCell ref="B33:C33"/>
    <mergeCell ref="D33:E33"/>
    <mergeCell ref="F33:H33"/>
    <mergeCell ref="I33:J33"/>
    <mergeCell ref="K33:N33"/>
    <mergeCell ref="O33:R33"/>
    <mergeCell ref="S33:U33"/>
    <mergeCell ref="V33:W33"/>
    <mergeCell ref="S32:U32"/>
    <mergeCell ref="V32:W32"/>
    <mergeCell ref="X32:AA32"/>
    <mergeCell ref="AB32:AE32"/>
    <mergeCell ref="AG32:AJ32"/>
    <mergeCell ref="AK32:AN32"/>
    <mergeCell ref="B32:C32"/>
    <mergeCell ref="D32:E32"/>
    <mergeCell ref="B35:C35"/>
    <mergeCell ref="D35:E35"/>
    <mergeCell ref="F35:H35"/>
    <mergeCell ref="I35:J35"/>
    <mergeCell ref="K35:N35"/>
    <mergeCell ref="O35:R35"/>
    <mergeCell ref="S35:U35"/>
    <mergeCell ref="V35:W35"/>
    <mergeCell ref="S34:U34"/>
    <mergeCell ref="V34:W34"/>
    <mergeCell ref="B34:C34"/>
    <mergeCell ref="D34:E34"/>
    <mergeCell ref="F34:H34"/>
    <mergeCell ref="I34:J34"/>
    <mergeCell ref="K34:N34"/>
    <mergeCell ref="O34:R34"/>
    <mergeCell ref="X35:AA35"/>
    <mergeCell ref="AB35:AE35"/>
    <mergeCell ref="AG35:AJ35"/>
    <mergeCell ref="AK35:AN35"/>
    <mergeCell ref="AO35:AR35"/>
    <mergeCell ref="AS35:AV35"/>
    <mergeCell ref="AO34:AR34"/>
    <mergeCell ref="AS34:AV34"/>
    <mergeCell ref="X34:AA34"/>
    <mergeCell ref="AB34:AE34"/>
    <mergeCell ref="AG34:AJ34"/>
    <mergeCell ref="AK34:AN34"/>
    <mergeCell ref="Y49:AD49"/>
    <mergeCell ref="H49:M49"/>
    <mergeCell ref="P45:Q45"/>
    <mergeCell ref="A49:E49"/>
    <mergeCell ref="P49:S49"/>
    <mergeCell ref="U49:X49"/>
    <mergeCell ref="AO36:AR36"/>
    <mergeCell ref="AS36:AV36"/>
    <mergeCell ref="A37:C37"/>
    <mergeCell ref="S36:U36"/>
    <mergeCell ref="V36:W36"/>
    <mergeCell ref="X36:AA36"/>
    <mergeCell ref="AB36:AE36"/>
    <mergeCell ref="AG36:AJ36"/>
    <mergeCell ref="AK36:AN36"/>
    <mergeCell ref="B36:C36"/>
    <mergeCell ref="D36:E36"/>
    <mergeCell ref="F36:H36"/>
    <mergeCell ref="I36:J36"/>
    <mergeCell ref="K36:N36"/>
    <mergeCell ref="O36:R36"/>
    <mergeCell ref="L41:M41"/>
    <mergeCell ref="L42:M42"/>
    <mergeCell ref="L43:M43"/>
  </mergeCells>
  <phoneticPr fontId="2" type="noConversion"/>
  <dataValidations count="3">
    <dataValidation type="list" allowBlank="1" showInputMessage="1" showErrorMessage="1" sqref="U44" xr:uid="{00000000-0002-0000-0600-000000000000}">
      <formula1>$AF$4:$AF$5</formula1>
    </dataValidation>
    <dataValidation type="list" allowBlank="1" showInputMessage="1" showErrorMessage="1" sqref="E41:E46 K41:K46 Q46 H41:H46 K43 D39 U41:U43 A12 N9:N10 A9:A10 K12 F12 G9:G10 O45 A19:A36" xr:uid="{00000000-0002-0000-0600-000001000000}">
      <formula1>$AG$4:$AG$5</formula1>
    </dataValidation>
    <dataValidation type="list" allowBlank="1" showInputMessage="1" showErrorMessage="1" sqref="L12" xr:uid="{00000000-0002-0000-0600-000002000000}">
      <formula1>$AG$4:$AG$7</formula1>
    </dataValidation>
  </dataValidations>
  <hyperlinks>
    <hyperlink ref="AF2" location="樣品清單!A1" display="樣品清單" xr:uid="{00000000-0004-0000-0600-000000000000}"/>
    <hyperlink ref="AF1" location="WorkSheet!A1" display="批次表" xr:uid="{00000000-0004-0000-06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WorkSheet!C21&amp;WorkSheet!G21</f>
        <v>--R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3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IFERROR(INDEX(samplename,MATCH(WorkSheet!C21,Job_No,0)),"--")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">
        <v>1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IF(樣品清單!AD$4="","--",樣品清單!AD$4)</f>
        <v>--</v>
      </c>
      <c r="C19" s="574"/>
      <c r="D19" s="575" t="str">
        <f ca="1">IFERROR(IF(INDEX(測試方法!$A$1:$AZ$98,MATCH(sample2!$D$5,測試方法!$A$1:$A$98,0),MATCH(sample2!B19,測試方法!$A$2:$AZ$2,0))&lt;&gt;"",INDEX(測試方法!$A$1:$AZ$98,MATCH(sample2!$D$5,測試方法!$A$1:$A$98,0),MATCH(sample2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5" t="s">
        <v>244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IF(I19=1,WorkSheet!$AF$21,CONCATENATE(WorkSheet!$AF$21&amp;"D"&amp;I19))</f>
        <v>--RD--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IF(V19=1,WorkSheet!$AF$21,CONCATENATE(WorkSheet!$AF$21&amp;"D"&amp;V19))</f>
        <v>--RD--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IF(樣品清單!AE4="","--",樣品清單!AE4)</f>
        <v>--</v>
      </c>
      <c r="C20" s="553"/>
      <c r="D20" s="554" t="str">
        <f ca="1">IFERROR(IF(INDEX(測試方法!$A$1:$AZ$98,MATCH(sample2!$D$5,測試方法!$A$1:$A$98,0),MATCH(sample2!B20,測試方法!$A$2:$AZ$2,0))&lt;&gt;"",INDEX(測試方法!$A$1:$AZ$98,MATCH(sample2!$D$5,測試方法!$A$1:$A$98,0),MATCH(sample2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IF(I20=1,WorkSheet!$AF$21,CONCATENATE(WorkSheet!$AF$21&amp;"D"&amp;I20))</f>
        <v>--RD--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IF(V20=1,WorkSheet!$AF$21,CONCATENATE(WorkSheet!$AF$21&amp;"D"&amp;V20))</f>
        <v>--RD--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IF(樣品清單!AF4="","--",樣品清單!AF4)</f>
        <v>--</v>
      </c>
      <c r="C21" s="553"/>
      <c r="D21" s="554" t="str">
        <f ca="1">IFERROR(IF(INDEX(測試方法!$A$1:$AZ$98,MATCH(sample2!$D$5,測試方法!$A$1:$A$98,0),MATCH(sample2!B21,測試方法!$A$2:$AZ$2,0))&lt;&gt;"",INDEX(測試方法!$A$1:$AZ$98,MATCH(sample2!$D$5,測試方法!$A$1:$A$98,0),MATCH(sample2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IF(I21=1,WorkSheet!$AF$21,CONCATENATE(WorkSheet!$AF$21&amp;"D"&amp;I21))</f>
        <v>--RD--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IF(V21=1,WorkSheet!$AF$21,CONCATENATE(WorkSheet!$AF$21&amp;"D"&amp;V21))</f>
        <v>--RD--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IF(樣品清單!AG4="","--",樣品清單!AG4)</f>
        <v>--</v>
      </c>
      <c r="C22" s="553"/>
      <c r="D22" s="554" t="str">
        <f ca="1">IFERROR(IF(INDEX(測試方法!$A$1:$AZ$98,MATCH(sample2!$D$5,測試方法!$A$1:$A$98,0),MATCH(sample2!B22,測試方法!$A$2:$AZ$2,0))&lt;&gt;"",INDEX(測試方法!$A$1:$AZ$98,MATCH(sample2!$D$5,測試方法!$A$1:$A$98,0),MATCH(sample2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IF(I22=1,WorkSheet!$AF$21,CONCATENATE(WorkSheet!$AF$21&amp;"D"&amp;I22))</f>
        <v>--RD--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IF(V22=1,WorkSheet!$AF$21,CONCATENATE(WorkSheet!$AF$21&amp;"D"&amp;V22))</f>
        <v>--RD--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IF(樣品清單!AH4="","--",樣品清單!AH4)</f>
        <v>--</v>
      </c>
      <c r="C23" s="553"/>
      <c r="D23" s="554" t="str">
        <f ca="1">IFERROR(IF(INDEX(測試方法!$A$1:$AZ$98,MATCH(sample2!$D$5,測試方法!$A$1:$A$98,0),MATCH(sample2!B23,測試方法!$A$2:$AZ$2,0))&lt;&gt;"",INDEX(測試方法!$A$1:$AZ$98,MATCH(sample2!$D$5,測試方法!$A$1:$A$98,0),MATCH(sample2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IF(I23=1,WorkSheet!$AF$21,CONCATENATE(WorkSheet!$AF$21&amp;"D"&amp;I23))</f>
        <v>--RD--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IF(V23=1,WorkSheet!$AF$21,CONCATENATE(WorkSheet!$AF$21&amp;"D"&amp;V23))</f>
        <v>--RD--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IF(樣品清單!AI4="","--",樣品清單!AI4)</f>
        <v>--</v>
      </c>
      <c r="C24" s="553"/>
      <c r="D24" s="554" t="str">
        <f ca="1">IFERROR(IF(INDEX(測試方法!$A$1:$AZ$98,MATCH(sample2!$D$5,測試方法!$A$1:$A$98,0),MATCH(sample2!B24,測試方法!$A$2:$AZ$2,0))&lt;&gt;"",INDEX(測試方法!$A$1:$AZ$98,MATCH(sample2!$D$5,測試方法!$A$1:$A$98,0),MATCH(sample2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IF(I24=1,WorkSheet!$AF$21,CONCATENATE(WorkSheet!$AF$21&amp;"D"&amp;I24))</f>
        <v>--RD--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IF(V24=1,WorkSheet!$AF$21,CONCATENATE(WorkSheet!$AF$21&amp;"D"&amp;V24))</f>
        <v>--RD--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IF(樣品清單!AJ4="","--",樣品清單!AJ4)</f>
        <v>--</v>
      </c>
      <c r="C25" s="553"/>
      <c r="D25" s="554" t="str">
        <f ca="1">IFERROR(IF(INDEX(測試方法!$A$1:$AZ$98,MATCH(sample2!$D$5,測試方法!$A$1:$A$98,0),MATCH(sample2!B25,測試方法!$A$2:$AZ$2,0))&lt;&gt;"",INDEX(測試方法!$A$1:$AZ$98,MATCH(sample2!$D$5,測試方法!$A$1:$A$98,0),MATCH(sample2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IF(I25=1,WorkSheet!$AF$21,CONCATENATE(WorkSheet!$AF$21&amp;"D"&amp;I25))</f>
        <v>--RD--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IF(V25=1,WorkSheet!$AF$21,CONCATENATE(WorkSheet!$AF$21&amp;"D"&amp;V25))</f>
        <v>--RD--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IF(樣品清單!AK4="","--",樣品清單!AK4)</f>
        <v>--</v>
      </c>
      <c r="C26" s="553"/>
      <c r="D26" s="554" t="str">
        <f ca="1">IFERROR(IF(INDEX(測試方法!$A$1:$AZ$98,MATCH(sample2!$D$5,測試方法!$A$1:$A$98,0),MATCH(sample2!B26,測試方法!$A$2:$AZ$2,0))&lt;&gt;"",INDEX(測試方法!$A$1:$AZ$98,MATCH(sample2!$D$5,測試方法!$A$1:$A$98,0),MATCH(sample2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IF(I26=1,WorkSheet!$AF$21,CONCATENATE(WorkSheet!$AF$21&amp;"D"&amp;I26))</f>
        <v>--RD--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IF(V26=1,WorkSheet!$AF$21,CONCATENATE(WorkSheet!$AF$21&amp;"D"&amp;V26))</f>
        <v>--RD--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IF(樣品清單!AL4="","--",樣品清單!AL4)</f>
        <v>--</v>
      </c>
      <c r="C27" s="553"/>
      <c r="D27" s="554" t="str">
        <f ca="1">IFERROR(IF(INDEX(測試方法!$A$1:$AZ$98,MATCH(sample2!$D$5,測試方法!$A$1:$A$98,0),MATCH(sample2!B27,測試方法!$A$2:$AZ$2,0))&lt;&gt;"",INDEX(測試方法!$A$1:$AZ$98,MATCH(sample2!$D$5,測試方法!$A$1:$A$98,0),MATCH(sample2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IF(I27=1,WorkSheet!$AF$21,CONCATENATE(WorkSheet!$AF$21&amp;"D"&amp;I27))</f>
        <v>--RD--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IF(V27=1,WorkSheet!$AF$21,CONCATENATE(WorkSheet!$AF$21&amp;"D"&amp;V27))</f>
        <v>--RD--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IF(樣品清單!AM4="","--",樣品清單!AM4)</f>
        <v>--</v>
      </c>
      <c r="C28" s="553"/>
      <c r="D28" s="554" t="str">
        <f ca="1">IFERROR(IF(INDEX(測試方法!$A$1:$AZ$98,MATCH(sample2!$D$5,測試方法!$A$1:$A$98,0),MATCH(sample2!B28,測試方法!$A$2:$AZ$2,0))&lt;&gt;"",INDEX(測試方法!$A$1:$AZ$98,MATCH(sample2!$D$5,測試方法!$A$1:$A$98,0),MATCH(sample2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IF(I28=1,WorkSheet!$AF$21,CONCATENATE(WorkSheet!$AF$21&amp;"D"&amp;I28))</f>
        <v>--RD--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IF(V28=1,WorkSheet!$AF$21,CONCATENATE(WorkSheet!$AF$21&amp;"D"&amp;V28))</f>
        <v>--RD--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IF(樣品清單!AN4="","--",樣品清單!AN4)</f>
        <v>--</v>
      </c>
      <c r="C29" s="553"/>
      <c r="D29" s="554" t="str">
        <f ca="1">IFERROR(IF(INDEX(測試方法!$A$1:$AZ$98,MATCH(sample2!$D$5,測試方法!$A$1:$A$98,0),MATCH(sample2!B29,測試方法!$A$2:$AZ$2,0))&lt;&gt;"",INDEX(測試方法!$A$1:$AZ$98,MATCH(sample2!$D$5,測試方法!$A$1:$A$98,0),MATCH(sample2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IF(I29=1,WorkSheet!$AF$21,CONCATENATE(WorkSheet!$AF$21&amp;"D"&amp;I29))</f>
        <v>--RD--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IF(V29=1,WorkSheet!$AF$21,CONCATENATE(WorkSheet!$AF$21&amp;"D"&amp;V29))</f>
        <v>--RD--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IF(樣品清單!AO4="","--",樣品清單!AO4)</f>
        <v>--</v>
      </c>
      <c r="C30" s="553"/>
      <c r="D30" s="554" t="str">
        <f ca="1">IFERROR(IF(INDEX(測試方法!$A$1:$AZ$98,MATCH(sample2!$D$5,測試方法!$A$1:$A$98,0),MATCH(sample2!B30,測試方法!$A$2:$AZ$2,0))&lt;&gt;"",INDEX(測試方法!$A$1:$AZ$98,MATCH(sample2!$D$5,測試方法!$A$1:$A$98,0),MATCH(sample2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IF(I30=1,WorkSheet!$AF$21,CONCATENATE(WorkSheet!$AF$21&amp;"D"&amp;I30))</f>
        <v>--RD--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IF(V30=1,WorkSheet!$AF$21,CONCATENATE(WorkSheet!$AF$21&amp;"D"&amp;V30))</f>
        <v>--RD--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IF(樣品清單!AP4="","--",樣品清單!AP4)</f>
        <v>--</v>
      </c>
      <c r="C31" s="553"/>
      <c r="D31" s="554" t="str">
        <f ca="1">IFERROR(IF(INDEX(測試方法!$A$1:$AZ$98,MATCH(sample2!$D$5,測試方法!$A$1:$A$98,0),MATCH(sample2!B31,測試方法!$A$2:$AZ$2,0))&lt;&gt;"",INDEX(測試方法!$A$1:$AZ$98,MATCH(sample2!$D$5,測試方法!$A$1:$A$98,0),MATCH(sample2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IF(I31=1,WorkSheet!$AF$21,CONCATENATE(WorkSheet!$AF$21&amp;"D"&amp;I31))</f>
        <v>--RD--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IF(V31=1,WorkSheet!$AF$21,CONCATENATE(WorkSheet!$AF$21&amp;"D"&amp;V31))</f>
        <v>--RD--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IF(樣品清單!AR4="","--",樣品清單!AR4)</f>
        <v>--</v>
      </c>
      <c r="C32" s="553"/>
      <c r="D32" s="554" t="str">
        <f ca="1">IFERROR(IF(INDEX(測試方法!$A$1:$AZ$98,MATCH(sample2!$D$5,測試方法!$A$1:$A$98,0),MATCH(sample2!B32,測試方法!$A$2:$AZ$2,0))&lt;&gt;"",INDEX(測試方法!$A$1:$AZ$98,MATCH(sample2!$D$5,測試方法!$A$1:$A$98,0),MATCH(sample2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IF(I32=1,WorkSheet!$AF$21,CONCATENATE(WorkSheet!$AF$21&amp;"D"&amp;I32))</f>
        <v>--RD--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IF(V32=1,WorkSheet!$AF$21,CONCATENATE(WorkSheet!$AF$21&amp;"D"&amp;V32))</f>
        <v>--RD--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IF(樣品清單!AS4="","--",樣品清單!AS4)</f>
        <v>--</v>
      </c>
      <c r="C33" s="553"/>
      <c r="D33" s="554" t="str">
        <f ca="1">IFERROR(IF(INDEX(測試方法!$A$1:$AZ$98,MATCH(sample2!$D$5,測試方法!$A$1:$A$98,0),MATCH(sample2!B33,測試方法!$A$2:$AZ$2,0))&lt;&gt;"",INDEX(測試方法!$A$1:$AZ$98,MATCH(sample2!$D$5,測試方法!$A$1:$A$98,0),MATCH(sample2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IF(I33=1,WorkSheet!$AF$21,CONCATENATE(WorkSheet!$AF$21&amp;"D"&amp;I33))</f>
        <v>--RD--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IF(V33=1,WorkSheet!$AF$21,CONCATENATE(WorkSheet!$AF$21&amp;"D"&amp;V33))</f>
        <v>--RD--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IF(樣品清單!AT4="","--",樣品清單!AT4)</f>
        <v>--</v>
      </c>
      <c r="C34" s="553"/>
      <c r="D34" s="554" t="str">
        <f ca="1">IFERROR(IF(INDEX(測試方法!$A$1:$AZ$98,MATCH(sample2!$D$5,測試方法!$A$1:$A$98,0),MATCH(sample2!B34,測試方法!$A$2:$AZ$2,0))&lt;&gt;"",INDEX(測試方法!$A$1:$AZ$98,MATCH(sample2!$D$5,測試方法!$A$1:$A$98,0),MATCH(sample2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IF(I34=1,WorkSheet!$AF$21,CONCATENATE(WorkSheet!$AF$21&amp;"D"&amp;I34))</f>
        <v>--RD--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IF(V34=1,WorkSheet!$AF$21,CONCATENATE(WorkSheet!$AF$21&amp;"D"&amp;V34))</f>
        <v>--RD--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IF(樣品清單!AU4="","--",樣品清單!AU4)</f>
        <v>--</v>
      </c>
      <c r="C35" s="553"/>
      <c r="D35" s="554" t="str">
        <f ca="1">IFERROR(IF(INDEX(測試方法!$A$1:$AZ$98,MATCH(sample2!$D$5,測試方法!$A$1:$A$98,0),MATCH(sample2!B35,測試方法!$A$2:$AZ$2,0))&lt;&gt;"",INDEX(測試方法!$A$1:$AZ$98,MATCH(sample2!$D$5,測試方法!$A$1:$A$98,0),MATCH(sample2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IF(I35=1,WorkSheet!$AF$21,CONCATENATE(WorkSheet!$AF$21&amp;"D"&amp;I35))</f>
        <v>--RD--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IF(V35=1,WorkSheet!$AF$21,CONCATENATE(WorkSheet!$AF$21&amp;"D"&amp;V35))</f>
        <v>--RD--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IF(樣品清單!AV4="","--",樣品清單!AV4)</f>
        <v>--</v>
      </c>
      <c r="C36" s="541"/>
      <c r="D36" s="542" t="str">
        <f ca="1">IFERROR(IF(INDEX(測試方法!$A$1:$AZ$98,MATCH(sample2!$D$5,測試方法!$A$1:$A$98,0),MATCH(sample2!B36,測試方法!$A$2:$AZ$2,0))&lt;&gt;"",INDEX(測試方法!$A$1:$AZ$98,MATCH(sample2!$D$5,測試方法!$A$1:$A$98,0),MATCH(sample2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IF(I36=1,WorkSheet!$AF$21,CONCATENATE(WorkSheet!$AF$21&amp;"D"&amp;I36))</f>
        <v>--RD--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IF(V36=1,WorkSheet!$AF$21,CONCATENATE(WorkSheet!$AF$21&amp;"D"&amp;V36))</f>
        <v>--RD--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I39" s="3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70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0700-000000000000}">
      <formula1>$AG$4:$AG$7</formula1>
    </dataValidation>
    <dataValidation type="list" allowBlank="1" showInputMessage="1" showErrorMessage="1" sqref="E41:E46 K41:K46 Q46 H41:H46 K43 D39 U41:U43 A12 N9:N10 A9:A10 K12 F12 G9:G10 O45 A19:A36" xr:uid="{00000000-0002-0000-0700-000001000000}">
      <formula1>$AG$4:$AG$5</formula1>
    </dataValidation>
    <dataValidation type="list" allowBlank="1" showInputMessage="1" showErrorMessage="1" sqref="U44" xr:uid="{00000000-0002-0000-0700-000002000000}">
      <formula1>$AF$4:$AF$5</formula1>
    </dataValidation>
  </dataValidations>
  <hyperlinks>
    <hyperlink ref="AF1" location="WorkSheet!A1" display="批次表" xr:uid="{00000000-0004-0000-0700-000000000000}"/>
    <hyperlink ref="AF2" location="樣品清單!A1" display="樣品清單" xr:uid="{00000000-0004-0000-07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WorkSheet!C22&amp;WorkSheet!G22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IFERROR(INDEX(samplename,MATCH(WorkSheet!C22,Job_No,0)),"--")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IF(樣品清單!AD$5="","--",樣品清單!AD$5)</f>
        <v>--</v>
      </c>
      <c r="C19" s="651"/>
      <c r="D19" s="575" t="str">
        <f ca="1">IFERROR(IF(INDEX(測試方法!$A$1:$AZ$98,MATCH(sample3!$D$5,測試方法!$A$1:$A$98,0),MATCH(sample3!B19,測試方法!$A$2:$AZ$2,0))&lt;&gt;"",INDEX(測試方法!$A$1:$AZ$98,MATCH(sample3!$D$5,測試方法!$A$1:$A$98,0),MATCH(sample3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IF(I19=1,WorkSheet!$AF$22,CONCATENATE(WorkSheet!$AF$22&amp;"D"&amp;I19))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IF(V19=1,WorkSheet!$AF$22,CONCATENATE(WorkSheet!$AF$22&amp;"D"&amp;V19))</f>
        <v>--D--</v>
      </c>
      <c r="AT19" s="531"/>
      <c r="AU19" s="531"/>
      <c r="AV19" s="369"/>
      <c r="BI19" s="68"/>
      <c r="BJ19" s="68"/>
      <c r="BK19" s="68"/>
      <c r="BL19" s="68"/>
      <c r="BQ19" s="68"/>
      <c r="BR19" s="68"/>
      <c r="BS19" s="68"/>
      <c r="BT19" s="68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25" t="str">
        <f ca="1">IF(樣品清單!AE$5="","--",樣品清單!AE$5)</f>
        <v>--</v>
      </c>
      <c r="C20" s="649"/>
      <c r="D20" s="554" t="str">
        <f ca="1">IFERROR(IF(INDEX(測試方法!$A$1:$AZ$98,MATCH(sample3!$D$5,測試方法!$A$1:$A$98,0),MATCH(sample3!B20,測試方法!$A$2:$AZ$2,0))&lt;&gt;"",INDEX(測試方法!$A$1:$AZ$98,MATCH(sample3!$D$5,測試方法!$A$1:$A$98,0),MATCH(sample3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IF(I20=1,WorkSheet!$AF$22,CONCATENATE(WorkSheet!$AF$22&amp;"D"&amp;I20))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IF(V20=1,WorkSheet!$AF$22,CONCATENATE(WorkSheet!$AF$22&amp;"D"&amp;V20))</f>
        <v>--D--</v>
      </c>
      <c r="AT20" s="531"/>
      <c r="AU20" s="531"/>
      <c r="AV20" s="369"/>
      <c r="BR20" s="68"/>
      <c r="BS20" s="68"/>
      <c r="BT20" s="68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IF(樣品清單!AF$5="","--",樣品清單!AF$5)</f>
        <v>--</v>
      </c>
      <c r="C21" s="648"/>
      <c r="D21" s="554" t="str">
        <f ca="1">IFERROR(IF(INDEX(測試方法!$A$1:$AZ$98,MATCH(sample3!$D$5,測試方法!$A$1:$A$98,0),MATCH(sample3!B21,測試方法!$A$2:$AZ$2,0))&lt;&gt;"",INDEX(測試方法!$A$1:$AZ$98,MATCH(sample3!$D$5,測試方法!$A$1:$A$98,0),MATCH(sample3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IF(I21=1,WorkSheet!$AF$22,CONCATENATE(WorkSheet!$AF$22&amp;"D"&amp;I21))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IF(V21=1,WorkSheet!$AF$22,CONCATENATE(WorkSheet!$AF$22&amp;"D"&amp;V21))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IF(樣品清單!AG$5="","--",樣品清單!AG$5)</f>
        <v>--</v>
      </c>
      <c r="C22" s="648"/>
      <c r="D22" s="554" t="str">
        <f ca="1">IFERROR(IF(INDEX(測試方法!$A$1:$AZ$98,MATCH(sample3!$D$5,測試方法!$A$1:$A$98,0),MATCH(sample3!B22,測試方法!$A$2:$AZ$2,0))&lt;&gt;"",INDEX(測試方法!$A$1:$AZ$98,MATCH(sample3!$D$5,測試方法!$A$1:$A$98,0),MATCH(sample3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IF(I22=1,WorkSheet!$AF$22,CONCATENATE(WorkSheet!$AF$22&amp;"D"&amp;I22))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IF(V22=1,WorkSheet!$AF$22,CONCATENATE(WorkSheet!$AF$22&amp;"D"&amp;V22))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IF(樣品清單!AH$5="","--",樣品清單!AH$5)</f>
        <v>--</v>
      </c>
      <c r="C23" s="648"/>
      <c r="D23" s="554" t="str">
        <f ca="1">IFERROR(IF(INDEX(測試方法!$A$1:$AZ$98,MATCH(sample3!$D$5,測試方法!$A$1:$A$98,0),MATCH(sample3!B23,測試方法!$A$2:$AZ$2,0))&lt;&gt;"",INDEX(測試方法!$A$1:$AZ$98,MATCH(sample3!$D$5,測試方法!$A$1:$A$98,0),MATCH(sample3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IF(I23=1,WorkSheet!$AF$22,CONCATENATE(WorkSheet!$AF$22&amp;"D"&amp;I23))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IF(V23=1,WorkSheet!$AF$22,CONCATENATE(WorkSheet!$AF$22&amp;"D"&amp;V23))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IF(樣品清單!AI$5="","--",樣品清單!AI$5)</f>
        <v>--</v>
      </c>
      <c r="C24" s="648"/>
      <c r="D24" s="554" t="str">
        <f ca="1">IFERROR(IF(INDEX(測試方法!$A$1:$AZ$98,MATCH(sample3!$D$5,測試方法!$A$1:$A$98,0),MATCH(sample3!B24,測試方法!$A$2:$AZ$2,0))&lt;&gt;"",INDEX(測試方法!$A$1:$AZ$98,MATCH(sample3!$D$5,測試方法!$A$1:$A$98,0),MATCH(sample3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IF(I24=1,WorkSheet!$AF$22,CONCATENATE(WorkSheet!$AF$22&amp;"D"&amp;I24))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IF(V24=1,WorkSheet!$AF$22,CONCATENATE(WorkSheet!$AF$22&amp;"D"&amp;V24))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IF(樣品清單!AJ$5="","--",樣品清單!AJ$5)</f>
        <v>--</v>
      </c>
      <c r="C25" s="648"/>
      <c r="D25" s="554" t="str">
        <f ca="1">IFERROR(IF(INDEX(測試方法!$A$1:$AZ$98,MATCH(sample3!$D$5,測試方法!$A$1:$A$98,0),MATCH(sample3!B25,測試方法!$A$2:$AZ$2,0))&lt;&gt;"",INDEX(測試方法!$A$1:$AZ$98,MATCH(sample3!$D$5,測試方法!$A$1:$A$98,0),MATCH(sample3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IF(I25=1,WorkSheet!$AF$22,CONCATENATE(WorkSheet!$AF$22&amp;"D"&amp;I25))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IF(V25=1,WorkSheet!$AF$22,CONCATENATE(WorkSheet!$AF$22&amp;"D"&amp;V25))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IF(樣品清單!AK$5="","--",樣品清單!AK$5)</f>
        <v>--</v>
      </c>
      <c r="C26" s="648"/>
      <c r="D26" s="554" t="str">
        <f ca="1">IFERROR(IF(INDEX(測試方法!$A$1:$AZ$98,MATCH(sample3!$D$5,測試方法!$A$1:$A$98,0),MATCH(sample3!B26,測試方法!$A$2:$AZ$2,0))&lt;&gt;"",INDEX(測試方法!$A$1:$AZ$98,MATCH(sample3!$D$5,測試方法!$A$1:$A$98,0),MATCH(sample3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IF(I26=1,WorkSheet!$AF$22,CONCATENATE(WorkSheet!$AF$22&amp;"D"&amp;I26))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IF(V26=1,WorkSheet!$AF$22,CONCATENATE(WorkSheet!$AF$22&amp;"D"&amp;V26))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IF(樣品清單!AL$5="","--",樣品清單!AL$5)</f>
        <v>--</v>
      </c>
      <c r="C27" s="648"/>
      <c r="D27" s="554" t="str">
        <f ca="1">IFERROR(IF(INDEX(測試方法!$A$1:$AZ$98,MATCH(sample3!$D$5,測試方法!$A$1:$A$98,0),MATCH(sample3!B27,測試方法!$A$2:$AZ$2,0))&lt;&gt;"",INDEX(測試方法!$A$1:$AZ$98,MATCH(sample3!$D$5,測試方法!$A$1:$A$98,0),MATCH(sample3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IF(I27=1,WorkSheet!$AF$22,CONCATENATE(WorkSheet!$AF$22&amp;"D"&amp;I27))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IF(V27=1,WorkSheet!$AF$22,CONCATENATE(WorkSheet!$AF$22&amp;"D"&amp;V27))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IF(樣品清單!AM$5="","--",樣品清單!AM$5)</f>
        <v>--</v>
      </c>
      <c r="C28" s="648"/>
      <c r="D28" s="554" t="str">
        <f ca="1">IFERROR(IF(INDEX(測試方法!$A$1:$AZ$98,MATCH(sample3!$D$5,測試方法!$A$1:$A$98,0),MATCH(sample3!B28,測試方法!$A$2:$AZ$2,0))&lt;&gt;"",INDEX(測試方法!$A$1:$AZ$98,MATCH(sample3!$D$5,測試方法!$A$1:$A$98,0),MATCH(sample3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IF(I28=1,WorkSheet!$AF$22,CONCATENATE(WorkSheet!$AF$22&amp;"D"&amp;I28))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IF(V28=1,WorkSheet!$AF$22,CONCATENATE(WorkSheet!$AF$22&amp;"D"&amp;V28))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IF(樣品清單!AN$5="","--",樣品清單!AN$5)</f>
        <v>--</v>
      </c>
      <c r="C29" s="648"/>
      <c r="D29" s="554" t="str">
        <f ca="1">IFERROR(IF(INDEX(測試方法!$A$1:$AZ$98,MATCH(sample3!$D$5,測試方法!$A$1:$A$98,0),MATCH(sample3!B29,測試方法!$A$2:$AZ$2,0))&lt;&gt;"",INDEX(測試方法!$A$1:$AZ$98,MATCH(sample3!$D$5,測試方法!$A$1:$A$98,0),MATCH(sample3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IF(I29=1,WorkSheet!$AF$22,CONCATENATE(WorkSheet!$AF$22&amp;"D"&amp;I29))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IF(V29=1,WorkSheet!$AF$22,CONCATENATE(WorkSheet!$AF$22&amp;"D"&amp;V29))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IF(樣品清單!AO$5="","--",樣品清單!AO$5)</f>
        <v>--</v>
      </c>
      <c r="C30" s="648"/>
      <c r="D30" s="554" t="str">
        <f ca="1">IFERROR(IF(INDEX(測試方法!$A$1:$AZ$98,MATCH(sample3!$D$5,測試方法!$A$1:$A$98,0),MATCH(sample3!B30,測試方法!$A$2:$AZ$2,0))&lt;&gt;"",INDEX(測試方法!$A$1:$AZ$98,MATCH(sample3!$D$5,測試方法!$A$1:$A$98,0),MATCH(sample3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IF(I30=1,WorkSheet!$AF$22,CONCATENATE(WorkSheet!$AF$22&amp;"D"&amp;I30))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IF(V30=1,WorkSheet!$AF$22,CONCATENATE(WorkSheet!$AF$22&amp;"D"&amp;V30))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IF(樣品清單!AP$5="","--",樣品清單!AP$5)</f>
        <v>--</v>
      </c>
      <c r="C31" s="648"/>
      <c r="D31" s="554" t="str">
        <f ca="1">IFERROR(IF(INDEX(測試方法!$A$1:$AZ$98,MATCH(sample3!$D$5,測試方法!$A$1:$A$98,0),MATCH(sample3!B31,測試方法!$A$2:$AZ$2,0))&lt;&gt;"",INDEX(測試方法!$A$1:$AZ$98,MATCH(sample3!$D$5,測試方法!$A$1:$A$98,0),MATCH(sample3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IF(I31=1,WorkSheet!$AF$22,CONCATENATE(WorkSheet!$AF$22&amp;"D"&amp;I31))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IF(V31=1,WorkSheet!$AF$22,CONCATENATE(WorkSheet!$AF$22&amp;"D"&amp;V31))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IF(樣品清單!AQ$5="","--",樣品清單!AQ$5)</f>
        <v>--</v>
      </c>
      <c r="C32" s="648"/>
      <c r="D32" s="554" t="str">
        <f ca="1">IFERROR(IF(INDEX(測試方法!$A$1:$AZ$98,MATCH(sample3!$D$5,測試方法!$A$1:$A$98,0),MATCH(sample3!B32,測試方法!$A$2:$AZ$2,0))&lt;&gt;"",INDEX(測試方法!$A$1:$AZ$98,MATCH(sample3!$D$5,測試方法!$A$1:$A$98,0),MATCH(sample3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IF(I32=1,WorkSheet!$AF$22,CONCATENATE(WorkSheet!$AF$22&amp;"D"&amp;I32))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IF(V32=1,WorkSheet!$AF$22,CONCATENATE(WorkSheet!$AF$22&amp;"D"&amp;V32))</f>
        <v>--D--</v>
      </c>
      <c r="AT32" s="531"/>
      <c r="AU32" s="531"/>
      <c r="AV32" s="369"/>
      <c r="AZ32" s="3"/>
      <c r="BA32" s="3"/>
      <c r="BB32" s="3"/>
      <c r="BC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IF(樣品清單!AR$5="","--",樣品清單!AR$5)</f>
        <v>--</v>
      </c>
      <c r="C33" s="648"/>
      <c r="D33" s="554" t="str">
        <f ca="1">IFERROR(IF(INDEX(測試方法!$A$1:$AZ$98,MATCH(sample3!$D$5,測試方法!$A$1:$A$98,0),MATCH(sample3!B33,測試方法!$A$2:$AZ$2,0))&lt;&gt;"",INDEX(測試方法!$A$1:$AZ$98,MATCH(sample3!$D$5,測試方法!$A$1:$A$98,0),MATCH(sample3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IF(I33=1,WorkSheet!$AF$22,CONCATENATE(WorkSheet!$AF$22&amp;"D"&amp;I33))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IF(V33=1,WorkSheet!$AF$22,CONCATENATE(WorkSheet!$AF$22&amp;"D"&amp;V33))</f>
        <v>--D--</v>
      </c>
      <c r="AT33" s="531"/>
      <c r="AU33" s="531"/>
      <c r="AV33" s="369"/>
      <c r="AZ33" s="3"/>
      <c r="BA33" s="3"/>
      <c r="BB33" s="3"/>
      <c r="BC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IF(樣品清單!AS$5="","--",樣品清單!AS$5)</f>
        <v>--</v>
      </c>
      <c r="C34" s="648"/>
      <c r="D34" s="554" t="str">
        <f ca="1">IFERROR(IF(INDEX(測試方法!$A$1:$AZ$98,MATCH(sample3!$D$5,測試方法!$A$1:$A$98,0),MATCH(sample3!B34,測試方法!$A$2:$AZ$2,0))&lt;&gt;"",INDEX(測試方法!$A$1:$AZ$98,MATCH(sample3!$D$5,測試方法!$A$1:$A$98,0),MATCH(sample3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IF(I34=1,WorkSheet!$AF$22,CONCATENATE(WorkSheet!$AF$22&amp;"D"&amp;I34))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IF(V34=1,WorkSheet!$AF$22,CONCATENATE(WorkSheet!$AF$22&amp;"D"&amp;V34))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IF(樣品清單!AT$5="","--",樣品清單!AT$5)</f>
        <v>--</v>
      </c>
      <c r="C35" s="648"/>
      <c r="D35" s="554" t="str">
        <f ca="1">IFERROR(IF(INDEX(測試方法!$A$1:$AZ$98,MATCH(sample3!$D$5,測試方法!$A$1:$A$98,0),MATCH(sample3!B35,測試方法!$A$2:$AZ$2,0))&lt;&gt;"",INDEX(測試方法!$A$1:$AZ$98,MATCH(sample3!$D$5,測試方法!$A$1:$A$98,0),MATCH(sample3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IF(I35=1,WorkSheet!$AF$22,CONCATENATE(WorkSheet!$AF$22&amp;"D"&amp;I35))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IF(V35=1,WorkSheet!$AF$22,CONCATENATE(WorkSheet!$AF$22&amp;"D"&amp;V35))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IF(樣品清單!AU$5="","--",樣品清單!AU$5)</f>
        <v>--</v>
      </c>
      <c r="C36" s="646"/>
      <c r="D36" s="542" t="str">
        <f ca="1">IFERROR(IF(INDEX(測試方法!$A$1:$AZ$98,MATCH(sample3!$D$5,測試方法!$A$1:$A$98,0),MATCH(sample3!B36,測試方法!$A$2:$AZ$2,0))&lt;&gt;"",INDEX(測試方法!$A$1:$AZ$98,MATCH(sample3!$D$5,測試方法!$A$1:$A$98,0),MATCH(sample3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IF(I36=1,WorkSheet!$AF$22,CONCATENATE(WorkSheet!$AF$22&amp;"D"&amp;I36))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IF(V36=1,WorkSheet!$AF$22,CONCATENATE(WorkSheet!$AF$22&amp;"D"&amp;V36))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I39" s="3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6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X16:AA16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A16:C18"/>
    <mergeCell ref="AO19:AR19"/>
    <mergeCell ref="AS19:AV19"/>
    <mergeCell ref="X19:AA19"/>
    <mergeCell ref="AB19:AE19"/>
    <mergeCell ref="AG19:AJ19"/>
    <mergeCell ref="AK19:AN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I20:J20"/>
    <mergeCell ref="K20:N20"/>
    <mergeCell ref="O20:R20"/>
    <mergeCell ref="S20:U20"/>
    <mergeCell ref="S19:U19"/>
    <mergeCell ref="V19:W19"/>
    <mergeCell ref="B19:C19"/>
    <mergeCell ref="D19:E19"/>
    <mergeCell ref="F19:H19"/>
    <mergeCell ref="I19:J19"/>
    <mergeCell ref="K19:N19"/>
    <mergeCell ref="O19:R19"/>
    <mergeCell ref="AS20:AV20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V20:W20"/>
    <mergeCell ref="X20:AA20"/>
    <mergeCell ref="AB20:AE20"/>
    <mergeCell ref="AG20:AJ20"/>
    <mergeCell ref="AK20:AN20"/>
    <mergeCell ref="AO20:AR20"/>
    <mergeCell ref="AB21:AE21"/>
    <mergeCell ref="AG21:AJ21"/>
    <mergeCell ref="AK21:AN21"/>
    <mergeCell ref="AO21:AR21"/>
    <mergeCell ref="AS21:AV21"/>
    <mergeCell ref="B20:C20"/>
    <mergeCell ref="D20:E20"/>
    <mergeCell ref="F20:H20"/>
    <mergeCell ref="B22:C22"/>
    <mergeCell ref="D22:E22"/>
    <mergeCell ref="F22:H22"/>
    <mergeCell ref="I22:J22"/>
    <mergeCell ref="K22:N22"/>
    <mergeCell ref="AK22:AN22"/>
    <mergeCell ref="AO22:AR22"/>
    <mergeCell ref="AS22:AV22"/>
    <mergeCell ref="B23:C23"/>
    <mergeCell ref="D23:E23"/>
    <mergeCell ref="F23:H23"/>
    <mergeCell ref="I23:J23"/>
    <mergeCell ref="K23:N23"/>
    <mergeCell ref="O23:R23"/>
    <mergeCell ref="S23:U23"/>
    <mergeCell ref="O22:R22"/>
    <mergeCell ref="S22:U22"/>
    <mergeCell ref="V22:W22"/>
    <mergeCell ref="X22:AA22"/>
    <mergeCell ref="AB22:AE22"/>
    <mergeCell ref="AG22:AJ22"/>
    <mergeCell ref="AS23:AV23"/>
    <mergeCell ref="V23:W23"/>
    <mergeCell ref="X23:AA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E41:E46 K41:K46 Q46 H41:H46 K43 D39 U41:U43 A12 N9:N10 A9:A10 K12 F12 G9:G10 O45 A19:A36" xr:uid="{00000000-0002-0000-0800-000000000000}">
      <formula1>$AG$4:$AG$5</formula1>
    </dataValidation>
    <dataValidation type="list" allowBlank="1" showInputMessage="1" showErrorMessage="1" sqref="L12" xr:uid="{00000000-0002-0000-0800-000001000000}">
      <formula1>$AG$4:$AG$7</formula1>
    </dataValidation>
    <dataValidation type="list" allowBlank="1" showInputMessage="1" showErrorMessage="1" sqref="U44" xr:uid="{00000000-0002-0000-0800-000002000000}">
      <formula1>$AF$4:$AF$5</formula1>
    </dataValidation>
  </dataValidations>
  <hyperlinks>
    <hyperlink ref="AF1" location="WorkSheet!A1" display="批次表" xr:uid="{00000000-0004-0000-0800-000000000000}"/>
    <hyperlink ref="AF2" location="樣品清單!A1" display="樣品清單" xr:uid="{00000000-0004-0000-08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WorkSheet!C23&amp;WorkSheet!G23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IFERROR(INDEX(samplename,MATCH(WorkSheet!C23,Job_No,0)),"--")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IF(樣品清單!AD$6="","--",樣品清單!AD$6)</f>
        <v>--</v>
      </c>
      <c r="C19" s="651"/>
      <c r="D19" s="575" t="str">
        <f ca="1">IFERROR(IF(INDEX(測試方法!$A$1:$AZ$98,MATCH(sample4!$D$5,測試方法!$A$1:$A$98,0),MATCH(sample4!B19,測試方法!$A$2:$AZ$2,0))&lt;&gt;"",INDEX(測試方法!$A$1:$AZ$98,MATCH(sample4!$D$5,測試方法!$A$1:$A$98,0),MATCH(sample4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IF(I19=1,WorkSheet!$AF$23,CONCATENATE(WorkSheet!$AF$23&amp;"D"&amp;I19))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IF(V19=1,WorkSheet!$AF$23,CONCATENATE(WorkSheet!$AF$23&amp;"D"&amp;V19))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IF(樣品清單!AE$6="","--",樣品清單!AE$6)</f>
        <v>--</v>
      </c>
      <c r="C20" s="648"/>
      <c r="D20" s="554" t="str">
        <f ca="1">IFERROR(IF(INDEX(測試方法!$A$1:$AZ$98,MATCH(sample4!$D$5,測試方法!$A$1:$A$98,0),MATCH(sample4!B20,測試方法!$A$2:$AZ$2,0))&lt;&gt;"",INDEX(測試方法!$A$1:$AZ$98,MATCH(sample4!$D$5,測試方法!$A$1:$A$98,0),MATCH(sample4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IF(I20=1,WorkSheet!$AF$23,CONCATENATE(WorkSheet!$AF$23&amp;"D"&amp;I20))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IF(V20=1,WorkSheet!$AF$23,CONCATENATE(WorkSheet!$AF$23&amp;"D"&amp;V20))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IF(樣品清單!AF$6="","--",樣品清單!AF$6)</f>
        <v>--</v>
      </c>
      <c r="C21" s="648"/>
      <c r="D21" s="554" t="str">
        <f ca="1">IFERROR(IF(INDEX(測試方法!$A$1:$AZ$98,MATCH(sample4!$D$5,測試方法!$A$1:$A$98,0),MATCH(sample4!B21,測試方法!$A$2:$AZ$2,0))&lt;&gt;"",INDEX(測試方法!$A$1:$AZ$98,MATCH(sample4!$D$5,測試方法!$A$1:$A$98,0),MATCH(sample4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IF(I21=1,WorkSheet!$AF$23,CONCATENATE(WorkSheet!$AF$23&amp;"D"&amp;I21))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IF(V21=1,WorkSheet!$AF$23,CONCATENATE(WorkSheet!$AF$23&amp;"D"&amp;V21))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IF(樣品清單!AG$6="","--",樣品清單!AG$6)</f>
        <v>--</v>
      </c>
      <c r="C22" s="648"/>
      <c r="D22" s="554" t="str">
        <f ca="1">IFERROR(IF(INDEX(測試方法!$A$1:$AZ$98,MATCH(sample4!$D$5,測試方法!$A$1:$A$98,0),MATCH(sample4!B22,測試方法!$A$2:$AZ$2,0))&lt;&gt;"",INDEX(測試方法!$A$1:$AZ$98,MATCH(sample4!$D$5,測試方法!$A$1:$A$98,0),MATCH(sample4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IF(I22=1,WorkSheet!$AF$23,CONCATENATE(WorkSheet!$AF$23&amp;"D"&amp;I22))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IF(V22=1,WorkSheet!$AF$23,CONCATENATE(WorkSheet!$AF$23&amp;"D"&amp;V22))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IF(樣品清單!AH$6="","--",樣品清單!AH$6)</f>
        <v>--</v>
      </c>
      <c r="C23" s="648"/>
      <c r="D23" s="554" t="str">
        <f ca="1">IFERROR(IF(INDEX(測試方法!$A$1:$AZ$98,MATCH(sample4!$D$5,測試方法!$A$1:$A$98,0),MATCH(sample4!B23,測試方法!$A$2:$AZ$2,0))&lt;&gt;"",INDEX(測試方法!$A$1:$AZ$98,MATCH(sample4!$D$5,測試方法!$A$1:$A$98,0),MATCH(sample4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IF(I23=1,WorkSheet!$AF$23,CONCATENATE(WorkSheet!$AF$23&amp;"D"&amp;I23))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IF(V23=1,WorkSheet!$AF$23,CONCATENATE(WorkSheet!$AF$23&amp;"D"&amp;V23))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IF(樣品清單!AI$6="","--",樣品清單!AI$6)</f>
        <v>--</v>
      </c>
      <c r="C24" s="648"/>
      <c r="D24" s="554" t="str">
        <f ca="1">IFERROR(IF(INDEX(測試方法!$A$1:$AZ$98,MATCH(sample4!$D$5,測試方法!$A$1:$A$98,0),MATCH(sample4!B24,測試方法!$A$2:$AZ$2,0))&lt;&gt;"",INDEX(測試方法!$A$1:$AZ$98,MATCH(sample4!$D$5,測試方法!$A$1:$A$98,0),MATCH(sample4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IF(I24=1,WorkSheet!$AF$23,CONCATENATE(WorkSheet!$AF$23&amp;"D"&amp;I24))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IF(V24=1,WorkSheet!$AF$23,CONCATENATE(WorkSheet!$AF$23&amp;"D"&amp;V24))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IF(樣品清單!AJ$6="","--",樣品清單!AJ$6)</f>
        <v>--</v>
      </c>
      <c r="C25" s="648"/>
      <c r="D25" s="554" t="str">
        <f ca="1">IFERROR(IF(INDEX(測試方法!$A$1:$AZ$98,MATCH(sample4!$D$5,測試方法!$A$1:$A$98,0),MATCH(sample4!B25,測試方法!$A$2:$AZ$2,0))&lt;&gt;"",INDEX(測試方法!$A$1:$AZ$98,MATCH(sample4!$D$5,測試方法!$A$1:$A$98,0),MATCH(sample4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IF(I25=1,WorkSheet!$AF$23,CONCATENATE(WorkSheet!$AF$23&amp;"D"&amp;I25))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IF(V25=1,WorkSheet!$AF$23,CONCATENATE(WorkSheet!$AF$23&amp;"D"&amp;V25))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IF(樣品清單!AK$6="","--",樣品清單!AK$6)</f>
        <v>--</v>
      </c>
      <c r="C26" s="648"/>
      <c r="D26" s="554" t="str">
        <f ca="1">IFERROR(IF(INDEX(測試方法!$A$1:$AZ$98,MATCH(sample4!$D$5,測試方法!$A$1:$A$98,0),MATCH(sample4!B26,測試方法!$A$2:$AZ$2,0))&lt;&gt;"",INDEX(測試方法!$A$1:$AZ$98,MATCH(sample4!$D$5,測試方法!$A$1:$A$98,0),MATCH(sample4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IF(I26=1,WorkSheet!$AF$23,CONCATENATE(WorkSheet!$AF$23&amp;"D"&amp;I26))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IF(V26=1,WorkSheet!$AF$23,CONCATENATE(WorkSheet!$AF$23&amp;"D"&amp;V26))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IF(樣品清單!AL$6="","--",樣品清單!AL$6)</f>
        <v>--</v>
      </c>
      <c r="C27" s="648"/>
      <c r="D27" s="554" t="str">
        <f ca="1">IFERROR(IF(INDEX(測試方法!$A$1:$AZ$98,MATCH(sample4!$D$5,測試方法!$A$1:$A$98,0),MATCH(sample4!B27,測試方法!$A$2:$AZ$2,0))&lt;&gt;"",INDEX(測試方法!$A$1:$AZ$98,MATCH(sample4!$D$5,測試方法!$A$1:$A$98,0),MATCH(sample4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IF(I27=1,WorkSheet!$AF$23,CONCATENATE(WorkSheet!$AF$23&amp;"D"&amp;I27))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IF(V27=1,WorkSheet!$AF$23,CONCATENATE(WorkSheet!$AF$23&amp;"D"&amp;V27))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IF(樣品清單!AM$6="","--",樣品清單!AM$6)</f>
        <v>--</v>
      </c>
      <c r="C28" s="648"/>
      <c r="D28" s="554" t="str">
        <f ca="1">IFERROR(IF(INDEX(測試方法!$A$1:$AZ$98,MATCH(sample4!$D$5,測試方法!$A$1:$A$98,0),MATCH(sample4!B28,測試方法!$A$2:$AZ$2,0))&lt;&gt;"",INDEX(測試方法!$A$1:$AZ$98,MATCH(sample4!$D$5,測試方法!$A$1:$A$98,0),MATCH(sample4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IF(I28=1,WorkSheet!$AF$23,CONCATENATE(WorkSheet!$AF$23&amp;"D"&amp;I28))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IF(V28=1,WorkSheet!$AF$23,CONCATENATE(WorkSheet!$AF$23&amp;"D"&amp;V28))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IF(樣品清單!AN$6="","--",樣品清單!AN$6)</f>
        <v>--</v>
      </c>
      <c r="C29" s="648"/>
      <c r="D29" s="554" t="str">
        <f ca="1">IFERROR(IF(INDEX(測試方法!$A$1:$AZ$98,MATCH(sample4!$D$5,測試方法!$A$1:$A$98,0),MATCH(sample4!B29,測試方法!$A$2:$AZ$2,0))&lt;&gt;"",INDEX(測試方法!$A$1:$AZ$98,MATCH(sample4!$D$5,測試方法!$A$1:$A$98,0),MATCH(sample4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IF(I29=1,WorkSheet!$AF$23,CONCATENATE(WorkSheet!$AF$23&amp;"D"&amp;I29))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IF(V29=1,WorkSheet!$AF$23,CONCATENATE(WorkSheet!$AF$23&amp;"D"&amp;V29))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IF(樣品清單!AO$6="","--",樣品清單!AO$6)</f>
        <v>--</v>
      </c>
      <c r="C30" s="648"/>
      <c r="D30" s="554" t="str">
        <f ca="1">IFERROR(IF(INDEX(測試方法!$A$1:$AZ$98,MATCH(sample4!$D$5,測試方法!$A$1:$A$98,0),MATCH(sample4!B30,測試方法!$A$2:$AZ$2,0))&lt;&gt;"",INDEX(測試方法!$A$1:$AZ$98,MATCH(sample4!$D$5,測試方法!$A$1:$A$98,0),MATCH(sample4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IF(I30=1,WorkSheet!$AF$23,CONCATENATE(WorkSheet!$AF$23&amp;"D"&amp;I30))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IF(V30=1,WorkSheet!$AF$23,CONCATENATE(WorkSheet!$AF$23&amp;"D"&amp;V30))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IF(樣品清單!AP$6="","--",樣品清單!AP$6)</f>
        <v>--</v>
      </c>
      <c r="C31" s="648"/>
      <c r="D31" s="554" t="str">
        <f ca="1">IFERROR(IF(INDEX(測試方法!$A$1:$AZ$98,MATCH(sample4!$D$5,測試方法!$A$1:$A$98,0),MATCH(sample4!B31,測試方法!$A$2:$AZ$2,0))&lt;&gt;"",INDEX(測試方法!$A$1:$AZ$98,MATCH(sample4!$D$5,測試方法!$A$1:$A$98,0),MATCH(sample4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IF(I31=1,WorkSheet!$AF$23,CONCATENATE(WorkSheet!$AF$23&amp;"D"&amp;I31))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IF(V31=1,WorkSheet!$AF$23,CONCATENATE(WorkSheet!$AF$23&amp;"D"&amp;V31))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IF(樣品清單!AQ$6="","--",樣品清單!AQ$6)</f>
        <v>--</v>
      </c>
      <c r="C32" s="648"/>
      <c r="D32" s="554" t="str">
        <f ca="1">IFERROR(IF(INDEX(測試方法!$A$1:$AZ$98,MATCH(sample4!$D$5,測試方法!$A$1:$A$98,0),MATCH(sample4!B32,測試方法!$A$2:$AZ$2,0))&lt;&gt;"",INDEX(測試方法!$A$1:$AZ$98,MATCH(sample4!$D$5,測試方法!$A$1:$A$98,0),MATCH(sample4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IF(I32=1,WorkSheet!$AF$23,CONCATENATE(WorkSheet!$AF$23&amp;"D"&amp;I32))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IF(V32=1,WorkSheet!$AF$23,CONCATENATE(WorkSheet!$AF$23&amp;"D"&amp;V32))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IF(樣品清單!AR$6="","--",樣品清單!AR$6)</f>
        <v>--</v>
      </c>
      <c r="C33" s="648"/>
      <c r="D33" s="554" t="str">
        <f ca="1">IFERROR(IF(INDEX(測試方法!$A$1:$AZ$98,MATCH(sample4!$D$5,測試方法!$A$1:$A$98,0),MATCH(sample4!B33,測試方法!$A$2:$AZ$2,0))&lt;&gt;"",INDEX(測試方法!$A$1:$AZ$98,MATCH(sample4!$D$5,測試方法!$A$1:$A$98,0),MATCH(sample4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IF(I33=1,WorkSheet!$AF$23,CONCATENATE(WorkSheet!$AF$23&amp;"D"&amp;I33))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IF(V33=1,WorkSheet!$AF$23,CONCATENATE(WorkSheet!$AF$23&amp;"D"&amp;V33))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IF(樣品清單!AS$6="","--",樣品清單!AS$6)</f>
        <v>--</v>
      </c>
      <c r="C34" s="648"/>
      <c r="D34" s="554" t="str">
        <f ca="1">IFERROR(IF(INDEX(測試方法!$A$1:$AZ$98,MATCH(sample4!$D$5,測試方法!$A$1:$A$98,0),MATCH(sample4!B34,測試方法!$A$2:$AZ$2,0))&lt;&gt;"",INDEX(測試方法!$A$1:$AZ$98,MATCH(sample4!$D$5,測試方法!$A$1:$A$98,0),MATCH(sample4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IF(I34=1,WorkSheet!$AF$23,CONCATENATE(WorkSheet!$AF$23&amp;"D"&amp;I34))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IF(V34=1,WorkSheet!$AF$23,CONCATENATE(WorkSheet!$AF$23&amp;"D"&amp;V34))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IF(樣品清單!AT$6="","--",樣品清單!AT$6)</f>
        <v>--</v>
      </c>
      <c r="C35" s="648"/>
      <c r="D35" s="554" t="str">
        <f ca="1">IFERROR(IF(INDEX(測試方法!$A$1:$AZ$98,MATCH(sample4!$D$5,測試方法!$A$1:$A$98,0),MATCH(sample4!B35,測試方法!$A$2:$AZ$2,0))&lt;&gt;"",INDEX(測試方法!$A$1:$AZ$98,MATCH(sample4!$D$5,測試方法!$A$1:$A$98,0),MATCH(sample4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IF(I35=1,WorkSheet!$AF$23,CONCATENATE(WorkSheet!$AF$23&amp;"D"&amp;I35))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IF(V35=1,WorkSheet!$AF$23,CONCATENATE(WorkSheet!$AF$23&amp;"D"&amp;V35))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IF(樣品清單!AU$6="","--",樣品清單!AU$6)</f>
        <v>--</v>
      </c>
      <c r="C36" s="646"/>
      <c r="D36" s="542" t="str">
        <f ca="1">IFERROR(IF(INDEX(測試方法!$A$1:$AZ$98,MATCH(sample4!$D$5,測試方法!$A$1:$A$98,0),MATCH(sample4!B36,測試方法!$A$2:$AZ$2,0))&lt;&gt;"",INDEX(測試方法!$A$1:$AZ$98,MATCH(sample4!$D$5,測試方法!$A$1:$A$98,0),MATCH(sample4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IF(I36=1,WorkSheet!$AF$23,CONCATENATE(WorkSheet!$AF$23&amp;"D"&amp;I36))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IF(V36=1,WorkSheet!$AF$23,CONCATENATE(WorkSheet!$AF$23&amp;"D"&amp;V36))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I39" s="3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0900-000000000000}">
      <formula1>$AG$4:$AG$7</formula1>
    </dataValidation>
    <dataValidation type="list" allowBlank="1" showInputMessage="1" showErrorMessage="1" sqref="E41:E46 K41:K46 Q46 H41:H46 K43 D39 U41:U43 A12 N9:N10 A9:A10 K12 F12 G9:G10 O45 A19:A36" xr:uid="{00000000-0002-0000-0900-000001000000}">
      <formula1>$AG$4:$AG$5</formula1>
    </dataValidation>
    <dataValidation type="list" allowBlank="1" showInputMessage="1" showErrorMessage="1" sqref="U44" xr:uid="{00000000-0002-0000-0900-000002000000}">
      <formula1>$AF$4:$AF$5</formula1>
    </dataValidation>
  </dataValidations>
  <hyperlinks>
    <hyperlink ref="AF1" location="WorkSheet!A1" display="批次表" xr:uid="{00000000-0004-0000-0900-000000000000}"/>
    <hyperlink ref="AF2" location="樣品清單!A1" display="樣品清單" xr:uid="{00000000-0004-0000-09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WorkSheet!C24&amp;WorkSheet!G24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IFERROR(INDEX(samplename,MATCH(WorkSheet!C24,Job_No,0)),"--")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IF(樣品清單!AD$7="","--",樣品清單!AD$7)</f>
        <v>--</v>
      </c>
      <c r="C19" s="574"/>
      <c r="D19" s="575" t="str">
        <f ca="1">IFERROR(IF(INDEX(測試方法!$A$1:$AZ$98,MATCH(sample5!$D$5,測試方法!$A$1:$A$98,0),MATCH(sample5!B19,測試方法!$A$2:$AZ$2,0))&lt;&gt;"",INDEX(測試方法!$A$1:$AZ$98,MATCH(sample5!$D$5,測試方法!$A$1:$A$98,0),MATCH(sample5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IF(I19=1,WorkSheet!$AF$24,CONCATENATE(WorkSheet!$AF$24&amp;"D"&amp;I19))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IF(V19=1,WorkSheet!$AF$24,CONCATENATE(WorkSheet!$AF$24&amp;"D"&amp;V19))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IF(樣品清單!AE$7="","--",樣品清單!AE$7)</f>
        <v>--</v>
      </c>
      <c r="C20" s="553"/>
      <c r="D20" s="554" t="str">
        <f ca="1">IFERROR(IF(INDEX(測試方法!$A$1:$AZ$98,MATCH(sample5!$D$5,測試方法!$A$1:$A$98,0),MATCH(sample5!B20,測試方法!$A$2:$AZ$2,0))&lt;&gt;"",INDEX(測試方法!$A$1:$AZ$98,MATCH(sample5!$D$5,測試方法!$A$1:$A$98,0),MATCH(sample5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IF(I20=1,WorkSheet!$AF$24,CONCATENATE(WorkSheet!$AF$24&amp;"D"&amp;I20))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IF(V20=1,WorkSheet!$AF$24,CONCATENATE(WorkSheet!$AF$24&amp;"D"&amp;V20))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IF(樣品清單!AF$7="","--",樣品清單!AF$7)</f>
        <v>--</v>
      </c>
      <c r="C21" s="553"/>
      <c r="D21" s="554" t="str">
        <f ca="1">IFERROR(IF(INDEX(測試方法!$A$1:$AZ$98,MATCH(sample5!$D$5,測試方法!$A$1:$A$98,0),MATCH(sample5!B21,測試方法!$A$2:$AZ$2,0))&lt;&gt;"",INDEX(測試方法!$A$1:$AZ$98,MATCH(sample5!$D$5,測試方法!$A$1:$A$98,0),MATCH(sample5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IF(I21=1,WorkSheet!$AF$24,CONCATENATE(WorkSheet!$AF$24&amp;"D"&amp;I21))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IF(V21=1,WorkSheet!$AF$24,CONCATENATE(WorkSheet!$AF$24&amp;"D"&amp;V21))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IF(樣品清單!AG$7="","--",樣品清單!AG$7)</f>
        <v>--</v>
      </c>
      <c r="C22" s="553"/>
      <c r="D22" s="554" t="str">
        <f ca="1">IFERROR(IF(INDEX(測試方法!$A$1:$AZ$98,MATCH(sample5!$D$5,測試方法!$A$1:$A$98,0),MATCH(sample5!B22,測試方法!$A$2:$AZ$2,0))&lt;&gt;"",INDEX(測試方法!$A$1:$AZ$98,MATCH(sample5!$D$5,測試方法!$A$1:$A$98,0),MATCH(sample5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IF(I22=1,WorkSheet!$AF$24,CONCATENATE(WorkSheet!$AF$24&amp;"D"&amp;I22))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IF(V22=1,WorkSheet!$AF$24,CONCATENATE(WorkSheet!$AF$24&amp;"D"&amp;V22))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IF(樣品清單!AH$7="","--",樣品清單!AH$7)</f>
        <v>--</v>
      </c>
      <c r="C23" s="553"/>
      <c r="D23" s="554" t="str">
        <f ca="1">IFERROR(IF(INDEX(測試方法!$A$1:$AZ$98,MATCH(sample5!$D$5,測試方法!$A$1:$A$98,0),MATCH(sample5!B23,測試方法!$A$2:$AZ$2,0))&lt;&gt;"",INDEX(測試方法!$A$1:$AZ$98,MATCH(sample5!$D$5,測試方法!$A$1:$A$98,0),MATCH(sample5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IF(I23=1,WorkSheet!$AF$24,CONCATENATE(WorkSheet!$AF$24&amp;"D"&amp;I23))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IF(V23=1,WorkSheet!$AF$24,CONCATENATE(WorkSheet!$AF$24&amp;"D"&amp;V23))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IF(樣品清單!AI$7="","--",樣品清單!AI$7)</f>
        <v>--</v>
      </c>
      <c r="C24" s="553"/>
      <c r="D24" s="554" t="str">
        <f ca="1">IFERROR(IF(INDEX(測試方法!$A$1:$AZ$98,MATCH(sample5!$D$5,測試方法!$A$1:$A$98,0),MATCH(sample5!B24,測試方法!$A$2:$AZ$2,0))&lt;&gt;"",INDEX(測試方法!$A$1:$AZ$98,MATCH(sample5!$D$5,測試方法!$A$1:$A$98,0),MATCH(sample5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IF(I24=1,WorkSheet!$AF$24,CONCATENATE(WorkSheet!$AF$24&amp;"D"&amp;I24))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IF(V24=1,WorkSheet!$AF$24,CONCATENATE(WorkSheet!$AF$24&amp;"D"&amp;V24))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IF(樣品清單!AJ$7="","--",樣品清單!AJ$7)</f>
        <v>--</v>
      </c>
      <c r="C25" s="553"/>
      <c r="D25" s="554" t="str">
        <f ca="1">IFERROR(IF(INDEX(測試方法!$A$1:$AZ$98,MATCH(sample5!$D$5,測試方法!$A$1:$A$98,0),MATCH(sample5!B25,測試方法!$A$2:$AZ$2,0))&lt;&gt;"",INDEX(測試方法!$A$1:$AZ$98,MATCH(sample5!$D$5,測試方法!$A$1:$A$98,0),MATCH(sample5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IF(I25=1,WorkSheet!$AF$24,CONCATENATE(WorkSheet!$AF$24&amp;"D"&amp;I25))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IF(V25=1,WorkSheet!$AF$24,CONCATENATE(WorkSheet!$AF$24&amp;"D"&amp;V25))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IF(樣品清單!AK$7="","--",樣品清單!AK$7)</f>
        <v>--</v>
      </c>
      <c r="C26" s="553"/>
      <c r="D26" s="554" t="str">
        <f ca="1">IFERROR(IF(INDEX(測試方法!$A$1:$AZ$98,MATCH(sample5!$D$5,測試方法!$A$1:$A$98,0),MATCH(sample5!B26,測試方法!$A$2:$AZ$2,0))&lt;&gt;"",INDEX(測試方法!$A$1:$AZ$98,MATCH(sample5!$D$5,測試方法!$A$1:$A$98,0),MATCH(sample5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IF(I26=1,WorkSheet!$AF$24,CONCATENATE(WorkSheet!$AF$24&amp;"D"&amp;I26))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IF(V26=1,WorkSheet!$AF$24,CONCATENATE(WorkSheet!$AF$24&amp;"D"&amp;V26))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IF(樣品清單!AL$7="","--",樣品清單!AL$7)</f>
        <v>--</v>
      </c>
      <c r="C27" s="553"/>
      <c r="D27" s="554" t="str">
        <f ca="1">IFERROR(IF(INDEX(測試方法!$A$1:$AZ$98,MATCH(sample5!$D$5,測試方法!$A$1:$A$98,0),MATCH(sample5!B27,測試方法!$A$2:$AZ$2,0))&lt;&gt;"",INDEX(測試方法!$A$1:$AZ$98,MATCH(sample5!$D$5,測試方法!$A$1:$A$98,0),MATCH(sample5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IF(I27=1,WorkSheet!$AF$24,CONCATENATE(WorkSheet!$AF$24&amp;"D"&amp;I27))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IF(V27=1,WorkSheet!$AF$24,CONCATENATE(WorkSheet!$AF$24&amp;"D"&amp;V27))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IF(樣品清單!AM$7="","--",樣品清單!AM$7)</f>
        <v>--</v>
      </c>
      <c r="C28" s="553"/>
      <c r="D28" s="554" t="str">
        <f ca="1">IFERROR(IF(INDEX(測試方法!$A$1:$AZ$98,MATCH(sample5!$D$5,測試方法!$A$1:$A$98,0),MATCH(sample5!B28,測試方法!$A$2:$AZ$2,0))&lt;&gt;"",INDEX(測試方法!$A$1:$AZ$98,MATCH(sample5!$D$5,測試方法!$A$1:$A$98,0),MATCH(sample5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IF(I28=1,WorkSheet!$AF$24,CONCATENATE(WorkSheet!$AF$24&amp;"D"&amp;I28))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IF(V28=1,WorkSheet!$AF$24,CONCATENATE(WorkSheet!$AF$24&amp;"D"&amp;V28))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IF(樣品清單!AN$7="","--",樣品清單!AN$7)</f>
        <v>--</v>
      </c>
      <c r="C29" s="553"/>
      <c r="D29" s="554" t="str">
        <f ca="1">IFERROR(IF(INDEX(測試方法!$A$1:$AZ$98,MATCH(sample5!$D$5,測試方法!$A$1:$A$98,0),MATCH(sample5!B29,測試方法!$A$2:$AZ$2,0))&lt;&gt;"",INDEX(測試方法!$A$1:$AZ$98,MATCH(sample5!$D$5,測試方法!$A$1:$A$98,0),MATCH(sample5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IF(I29=1,WorkSheet!$AF$24,CONCATENATE(WorkSheet!$AF$24&amp;"D"&amp;I29))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IF(V29=1,WorkSheet!$AF$24,CONCATENATE(WorkSheet!$AF$24&amp;"D"&amp;V29))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IF(樣品清單!AO$7="","--",樣品清單!AO$7)</f>
        <v>--</v>
      </c>
      <c r="C30" s="553"/>
      <c r="D30" s="554" t="str">
        <f ca="1">IFERROR(IF(INDEX(測試方法!$A$1:$AZ$98,MATCH(sample5!$D$5,測試方法!$A$1:$A$98,0),MATCH(sample5!B30,測試方法!$A$2:$AZ$2,0))&lt;&gt;"",INDEX(測試方法!$A$1:$AZ$98,MATCH(sample5!$D$5,測試方法!$A$1:$A$98,0),MATCH(sample5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IF(I30=1,WorkSheet!$AF$24,CONCATENATE(WorkSheet!$AF$24&amp;"D"&amp;I30))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IF(V30=1,WorkSheet!$AF$24,CONCATENATE(WorkSheet!$AF$24&amp;"D"&amp;V30))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IF(樣品清單!AP$7="","--",樣品清單!AP$7)</f>
        <v>--</v>
      </c>
      <c r="C31" s="553"/>
      <c r="D31" s="554" t="str">
        <f ca="1">IFERROR(IF(INDEX(測試方法!$A$1:$AZ$98,MATCH(sample5!$D$5,測試方法!$A$1:$A$98,0),MATCH(sample5!B31,測試方法!$A$2:$AZ$2,0))&lt;&gt;"",INDEX(測試方法!$A$1:$AZ$98,MATCH(sample5!$D$5,測試方法!$A$1:$A$98,0),MATCH(sample5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IF(I31=1,WorkSheet!$AF$24,CONCATENATE(WorkSheet!$AF$24&amp;"D"&amp;I31))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IF(V31=1,WorkSheet!$AF$24,CONCATENATE(WorkSheet!$AF$24&amp;"D"&amp;V31))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IF(樣品清單!AQ$7="","--",樣品清單!AQ$7)</f>
        <v>--</v>
      </c>
      <c r="C32" s="553"/>
      <c r="D32" s="554" t="str">
        <f ca="1">IFERROR(IF(INDEX(測試方法!$A$1:$AZ$98,MATCH(sample5!$D$5,測試方法!$A$1:$A$98,0),MATCH(sample5!B32,測試方法!$A$2:$AZ$2,0))&lt;&gt;"",INDEX(測試方法!$A$1:$AZ$98,MATCH(sample5!$D$5,測試方法!$A$1:$A$98,0),MATCH(sample5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IF(I32=1,WorkSheet!$AF$24,CONCATENATE(WorkSheet!$AF$24&amp;"D"&amp;I32))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IF(V32=1,WorkSheet!$AF$24,CONCATENATE(WorkSheet!$AF$24&amp;"D"&amp;V32))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IF(樣品清單!AR$7="","--",樣品清單!AR$7)</f>
        <v>--</v>
      </c>
      <c r="C33" s="553"/>
      <c r="D33" s="554" t="str">
        <f ca="1">IFERROR(IF(INDEX(測試方法!$A$1:$AZ$98,MATCH(sample5!$D$5,測試方法!$A$1:$A$98,0),MATCH(sample5!B33,測試方法!$A$2:$AZ$2,0))&lt;&gt;"",INDEX(測試方法!$A$1:$AZ$98,MATCH(sample5!$D$5,測試方法!$A$1:$A$98,0),MATCH(sample5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IF(I33=1,WorkSheet!$AF$24,CONCATENATE(WorkSheet!$AF$24&amp;"D"&amp;I33))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IF(V33=1,WorkSheet!$AF$24,CONCATENATE(WorkSheet!$AF$24&amp;"D"&amp;V33))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IF(樣品清單!AS$7="","--",樣品清單!AS$7)</f>
        <v>--</v>
      </c>
      <c r="C34" s="553"/>
      <c r="D34" s="554" t="str">
        <f ca="1">IFERROR(IF(INDEX(測試方法!$A$1:$AZ$98,MATCH(sample5!$D$5,測試方法!$A$1:$A$98,0),MATCH(sample5!B34,測試方法!$A$2:$AZ$2,0))&lt;&gt;"",INDEX(測試方法!$A$1:$AZ$98,MATCH(sample5!$D$5,測試方法!$A$1:$A$98,0),MATCH(sample5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IF(I34=1,WorkSheet!$AF$24,CONCATENATE(WorkSheet!$AF$24&amp;"D"&amp;I34))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IF(V34=1,WorkSheet!$AF$24,CONCATENATE(WorkSheet!$AF$24&amp;"D"&amp;V34))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IF(樣品清單!AT$7="","--",樣品清單!AT$7)</f>
        <v>--</v>
      </c>
      <c r="C35" s="553"/>
      <c r="D35" s="554" t="str">
        <f ca="1">IFERROR(IF(INDEX(測試方法!$A$1:$AZ$98,MATCH(sample5!$D$5,測試方法!$A$1:$A$98,0),MATCH(sample5!B35,測試方法!$A$2:$AZ$2,0))&lt;&gt;"",INDEX(測試方法!$A$1:$AZ$98,MATCH(sample5!$D$5,測試方法!$A$1:$A$98,0),MATCH(sample5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IF(I35=1,WorkSheet!$AF$24,CONCATENATE(WorkSheet!$AF$24&amp;"D"&amp;I35))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IF(V35=1,WorkSheet!$AF$24,CONCATENATE(WorkSheet!$AF$24&amp;"D"&amp;V35))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IF(樣品清單!AU$7="","--",樣品清單!AU$7)</f>
        <v>--</v>
      </c>
      <c r="C36" s="541"/>
      <c r="D36" s="542" t="str">
        <f ca="1">IFERROR(IF(INDEX(測試方法!$A$1:$AZ$98,MATCH(sample5!$D$5,測試方法!$A$1:$A$98,0),MATCH(sample5!B36,測試方法!$A$2:$AZ$2,0))&lt;&gt;"",INDEX(測試方法!$A$1:$AZ$98,MATCH(sample5!$D$5,測試方法!$A$1:$A$98,0),MATCH(sample5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IF(I36=1,WorkSheet!$AF$24,CONCATENATE(WorkSheet!$AF$24&amp;"D"&amp;I36))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IF(V36=1,WorkSheet!$AF$24,CONCATENATE(WorkSheet!$AF$24&amp;"D"&amp;V36))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0A00-000000000000}">
      <formula1>$AG$4:$AG$7</formula1>
    </dataValidation>
    <dataValidation type="list" allowBlank="1" showInputMessage="1" showErrorMessage="1" sqref="E41:E46 K41:K46 Q46 H41:H46 K43 D39 U41:U43 A12 N9:N10 A9:A10 K12 F12 G9:G10 O45 A19:A36" xr:uid="{00000000-0002-0000-0A00-000001000000}">
      <formula1>$AG$4:$AG$5</formula1>
    </dataValidation>
    <dataValidation type="list" allowBlank="1" showInputMessage="1" showErrorMessage="1" sqref="U44" xr:uid="{00000000-0002-0000-0A00-000002000000}">
      <formula1>$AF$4:$AF$5</formula1>
    </dataValidation>
  </dataValidations>
  <hyperlinks>
    <hyperlink ref="AF1" location="WorkSheet!A1" display="批次表" xr:uid="{00000000-0004-0000-0A00-000000000000}"/>
    <hyperlink ref="AF2" location="樣品清單!A1" display="樣品清單" xr:uid="{00000000-0004-0000-0A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WorkSheet!C25&amp;WorkSheet!G25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IFERROR(INDEX(samplename,MATCH(WorkSheet!C25,Job_No,0)),"--")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IF(樣品清單!AD$8="","--",樣品清單!AD$8)</f>
        <v>--</v>
      </c>
      <c r="C19" s="574"/>
      <c r="D19" s="575" t="str">
        <f ca="1">IFERROR(IF(INDEX(測試方法!$A$1:$AZ$98,MATCH(sample6!$D$5,測試方法!$A$1:$A$98,0),MATCH(sample6!B19,測試方法!$A$2:$AZ$2,0))&lt;&gt;"",INDEX(測試方法!$A$1:$AZ$98,MATCH(sample6!$D$5,測試方法!$A$1:$A$98,0),MATCH(sample6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IF(I19=1,WorkSheet!$AF$25,CONCATENATE(WorkSheet!$AF$25&amp;"D"&amp;I19))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IF(V19=1,WorkSheet!$AF$25,CONCATENATE(WorkSheet!$AF$25&amp;"D"&amp;V19))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IF(樣品清單!AE$8="","--",樣品清單!AE$8)</f>
        <v>--</v>
      </c>
      <c r="C20" s="553"/>
      <c r="D20" s="554" t="str">
        <f ca="1">IFERROR(IF(INDEX(測試方法!$A$1:$AZ$98,MATCH(sample6!$D$5,測試方法!$A$1:$A$98,0),MATCH(sample6!B20,測試方法!$A$2:$AZ$2,0))&lt;&gt;"",INDEX(測試方法!$A$1:$AZ$98,MATCH(sample6!$D$5,測試方法!$A$1:$A$98,0),MATCH(sample6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IF(I20=1,WorkSheet!$AF$25,CONCATENATE(WorkSheet!$AF$25&amp;"D"&amp;I20))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IF(V20=1,WorkSheet!$AF$25,CONCATENATE(WorkSheet!$AF$25&amp;"D"&amp;V20))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IF(樣品清單!AF$8="","--",樣品清單!AF$8)</f>
        <v>--</v>
      </c>
      <c r="C21" s="553"/>
      <c r="D21" s="554" t="str">
        <f ca="1">IFERROR(IF(INDEX(測試方法!$A$1:$AZ$98,MATCH(sample6!$D$5,測試方法!$A$1:$A$98,0),MATCH(sample6!B21,測試方法!$A$2:$AZ$2,0))&lt;&gt;"",INDEX(測試方法!$A$1:$AZ$98,MATCH(sample6!$D$5,測試方法!$A$1:$A$98,0),MATCH(sample6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IF(I21=1,WorkSheet!$AF$25,CONCATENATE(WorkSheet!$AF$25&amp;"D"&amp;I21))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IF(V21=1,WorkSheet!$AF$25,CONCATENATE(WorkSheet!$AF$25&amp;"D"&amp;V21))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IF(樣品清單!AG$8="","--",樣品清單!AG$8)</f>
        <v>--</v>
      </c>
      <c r="C22" s="553"/>
      <c r="D22" s="554" t="str">
        <f ca="1">IFERROR(IF(INDEX(測試方法!$A$1:$AZ$98,MATCH(sample6!$D$5,測試方法!$A$1:$A$98,0),MATCH(sample6!B22,測試方法!$A$2:$AZ$2,0))&lt;&gt;"",INDEX(測試方法!$A$1:$AZ$98,MATCH(sample6!$D$5,測試方法!$A$1:$A$98,0),MATCH(sample6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IF(I22=1,WorkSheet!$AF$25,CONCATENATE(WorkSheet!$AF$25&amp;"D"&amp;I22))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IF(V22=1,WorkSheet!$AF$25,CONCATENATE(WorkSheet!$AF$25&amp;"D"&amp;V22))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IF(樣品清單!AH$8="","--",樣品清單!AH$8)</f>
        <v>--</v>
      </c>
      <c r="C23" s="553"/>
      <c r="D23" s="554" t="str">
        <f ca="1">IFERROR(IF(INDEX(測試方法!$A$1:$AZ$98,MATCH(sample6!$D$5,測試方法!$A$1:$A$98,0),MATCH(sample6!B23,測試方法!$A$2:$AZ$2,0))&lt;&gt;"",INDEX(測試方法!$A$1:$AZ$98,MATCH(sample6!$D$5,測試方法!$A$1:$A$98,0),MATCH(sample6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IF(I23=1,WorkSheet!$AF$25,CONCATENATE(WorkSheet!$AF$25&amp;"D"&amp;I23))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IF(V23=1,WorkSheet!$AF$25,CONCATENATE(WorkSheet!$AF$25&amp;"D"&amp;V23))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IF(樣品清單!AI$8="","--",樣品清單!AI$8)</f>
        <v>--</v>
      </c>
      <c r="C24" s="553"/>
      <c r="D24" s="554" t="str">
        <f ca="1">IFERROR(IF(INDEX(測試方法!$A$1:$AZ$98,MATCH(sample6!$D$5,測試方法!$A$1:$A$98,0),MATCH(sample6!B24,測試方法!$A$2:$AZ$2,0))&lt;&gt;"",INDEX(測試方法!$A$1:$AZ$98,MATCH(sample6!$D$5,測試方法!$A$1:$A$98,0),MATCH(sample6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IF(I24=1,WorkSheet!$AF$25,CONCATENATE(WorkSheet!$AF$25&amp;"D"&amp;I24))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IF(V24=1,WorkSheet!$AF$25,CONCATENATE(WorkSheet!$AF$25&amp;"D"&amp;V24))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IF(樣品清單!AJ$8="","--",樣品清單!AJ$8)</f>
        <v>--</v>
      </c>
      <c r="C25" s="553"/>
      <c r="D25" s="554" t="str">
        <f ca="1">IFERROR(IF(INDEX(測試方法!$A$1:$AZ$98,MATCH(sample6!$D$5,測試方法!$A$1:$A$98,0),MATCH(sample6!B25,測試方法!$A$2:$AZ$2,0))&lt;&gt;"",INDEX(測試方法!$A$1:$AZ$98,MATCH(sample6!$D$5,測試方法!$A$1:$A$98,0),MATCH(sample6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IF(I25=1,WorkSheet!$AF$25,CONCATENATE(WorkSheet!$AF$25&amp;"D"&amp;I25))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IF(V25=1,WorkSheet!$AF$25,CONCATENATE(WorkSheet!$AF$25&amp;"D"&amp;V25))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IF(樣品清單!AK$8="","--",樣品清單!AK$8)</f>
        <v>--</v>
      </c>
      <c r="C26" s="553"/>
      <c r="D26" s="554" t="str">
        <f ca="1">IFERROR(IF(INDEX(測試方法!$A$1:$AZ$98,MATCH(sample6!$D$5,測試方法!$A$1:$A$98,0),MATCH(sample6!B26,測試方法!$A$2:$AZ$2,0))&lt;&gt;"",INDEX(測試方法!$A$1:$AZ$98,MATCH(sample6!$D$5,測試方法!$A$1:$A$98,0),MATCH(sample6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IF(I26=1,WorkSheet!$AF$25,CONCATENATE(WorkSheet!$AF$25&amp;"D"&amp;I26))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IF(V26=1,WorkSheet!$AF$25,CONCATENATE(WorkSheet!$AF$25&amp;"D"&amp;V26))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IF(樣品清單!AL$8="","--",樣品清單!AL$8)</f>
        <v>--</v>
      </c>
      <c r="C27" s="553"/>
      <c r="D27" s="554" t="str">
        <f ca="1">IFERROR(IF(INDEX(測試方法!$A$1:$AZ$98,MATCH(sample6!$D$5,測試方法!$A$1:$A$98,0),MATCH(sample6!B27,測試方法!$A$2:$AZ$2,0))&lt;&gt;"",INDEX(測試方法!$A$1:$AZ$98,MATCH(sample6!$D$5,測試方法!$A$1:$A$98,0),MATCH(sample6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IF(I27=1,WorkSheet!$AF$25,CONCATENATE(WorkSheet!$AF$25&amp;"D"&amp;I27))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IF(V27=1,WorkSheet!$AF$25,CONCATENATE(WorkSheet!$AF$25&amp;"D"&amp;V27))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IF(樣品清單!AM$8="","--",樣品清單!AM$8)</f>
        <v>--</v>
      </c>
      <c r="C28" s="553"/>
      <c r="D28" s="554" t="str">
        <f ca="1">IFERROR(IF(INDEX(測試方法!$A$1:$AZ$98,MATCH(sample6!$D$5,測試方法!$A$1:$A$98,0),MATCH(sample6!B28,測試方法!$A$2:$AZ$2,0))&lt;&gt;"",INDEX(測試方法!$A$1:$AZ$98,MATCH(sample6!$D$5,測試方法!$A$1:$A$98,0),MATCH(sample6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IF(I28=1,WorkSheet!$AF$25,CONCATENATE(WorkSheet!$AF$25&amp;"D"&amp;I28))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IF(V28=1,WorkSheet!$AF$25,CONCATENATE(WorkSheet!$AF$25&amp;"D"&amp;V28))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IF(樣品清單!AN$8="","--",樣品清單!AN$8)</f>
        <v>--</v>
      </c>
      <c r="C29" s="553"/>
      <c r="D29" s="554" t="str">
        <f ca="1">IFERROR(IF(INDEX(測試方法!$A$1:$AZ$98,MATCH(sample6!$D$5,測試方法!$A$1:$A$98,0),MATCH(sample6!B29,測試方法!$A$2:$AZ$2,0))&lt;&gt;"",INDEX(測試方法!$A$1:$AZ$98,MATCH(sample6!$D$5,測試方法!$A$1:$A$98,0),MATCH(sample6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IF(I29=1,WorkSheet!$AF$25,CONCATENATE(WorkSheet!$AF$25&amp;"D"&amp;I29))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IF(V29=1,WorkSheet!$AF$25,CONCATENATE(WorkSheet!$AF$25&amp;"D"&amp;V29))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IF(樣品清單!AO$8="","--",樣品清單!AO$8)</f>
        <v>--</v>
      </c>
      <c r="C30" s="553"/>
      <c r="D30" s="554" t="str">
        <f ca="1">IFERROR(IF(INDEX(測試方法!$A$1:$AZ$98,MATCH(sample6!$D$5,測試方法!$A$1:$A$98,0),MATCH(sample6!B30,測試方法!$A$2:$AZ$2,0))&lt;&gt;"",INDEX(測試方法!$A$1:$AZ$98,MATCH(sample6!$D$5,測試方法!$A$1:$A$98,0),MATCH(sample6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IF(I30=1,WorkSheet!$AF$25,CONCATENATE(WorkSheet!$AF$25&amp;"D"&amp;I30))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IF(V30=1,WorkSheet!$AF$25,CONCATENATE(WorkSheet!$AF$25&amp;"D"&amp;V30))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IF(樣品清單!AP$8="","--",樣品清單!AP$8)</f>
        <v>--</v>
      </c>
      <c r="C31" s="553"/>
      <c r="D31" s="554" t="str">
        <f ca="1">IFERROR(IF(INDEX(測試方法!$A$1:$AZ$98,MATCH(sample6!$D$5,測試方法!$A$1:$A$98,0),MATCH(sample6!B31,測試方法!$A$2:$AZ$2,0))&lt;&gt;"",INDEX(測試方法!$A$1:$AZ$98,MATCH(sample6!$D$5,測試方法!$A$1:$A$98,0),MATCH(sample6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IF(I31=1,WorkSheet!$AF$25,CONCATENATE(WorkSheet!$AF$25&amp;"D"&amp;I31))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IF(V31=1,WorkSheet!$AF$25,CONCATENATE(WorkSheet!$AF$25&amp;"D"&amp;V31))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IF(樣品清單!AQ$8="","--",樣品清單!AQ$8)</f>
        <v>--</v>
      </c>
      <c r="C32" s="553"/>
      <c r="D32" s="554" t="str">
        <f ca="1">IFERROR(IF(INDEX(測試方法!$A$1:$AZ$98,MATCH(sample6!$D$5,測試方法!$A$1:$A$98,0),MATCH(sample6!B32,測試方法!$A$2:$AZ$2,0))&lt;&gt;"",INDEX(測試方法!$A$1:$AZ$98,MATCH(sample6!$D$5,測試方法!$A$1:$A$98,0),MATCH(sample6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IF(I32=1,WorkSheet!$AF$25,CONCATENATE(WorkSheet!$AF$25&amp;"D"&amp;I32))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IF(V32=1,WorkSheet!$AF$25,CONCATENATE(WorkSheet!$AF$25&amp;"D"&amp;V32))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IF(樣品清單!AR$8="","--",樣品清單!AR$8)</f>
        <v>--</v>
      </c>
      <c r="C33" s="553"/>
      <c r="D33" s="554" t="str">
        <f ca="1">IFERROR(IF(INDEX(測試方法!$A$1:$AZ$98,MATCH(sample6!$D$5,測試方法!$A$1:$A$98,0),MATCH(sample6!B33,測試方法!$A$2:$AZ$2,0))&lt;&gt;"",INDEX(測試方法!$A$1:$AZ$98,MATCH(sample6!$D$5,測試方法!$A$1:$A$98,0),MATCH(sample6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IF(I33=1,WorkSheet!$AF$25,CONCATENATE(WorkSheet!$AF$25&amp;"D"&amp;I33))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IF(V33=1,WorkSheet!$AF$25,CONCATENATE(WorkSheet!$AF$25&amp;"D"&amp;V33))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IF(樣品清單!AS$8="","--",樣品清單!AS$8)</f>
        <v>--</v>
      </c>
      <c r="C34" s="553"/>
      <c r="D34" s="554" t="str">
        <f ca="1">IFERROR(IF(INDEX(測試方法!$A$1:$AZ$98,MATCH(sample6!$D$5,測試方法!$A$1:$A$98,0),MATCH(sample6!B34,測試方法!$A$2:$AZ$2,0))&lt;&gt;"",INDEX(測試方法!$A$1:$AZ$98,MATCH(sample6!$D$5,測試方法!$A$1:$A$98,0),MATCH(sample6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IF(I34=1,WorkSheet!$AF$25,CONCATENATE(WorkSheet!$AF$25&amp;"D"&amp;I34))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IF(V34=1,WorkSheet!$AF$25,CONCATENATE(WorkSheet!$AF$25&amp;"D"&amp;V34))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IF(樣品清單!AT$8="","--",樣品清單!AT$8)</f>
        <v>--</v>
      </c>
      <c r="C35" s="553"/>
      <c r="D35" s="554" t="str">
        <f ca="1">IFERROR(IF(INDEX(測試方法!$A$1:$AZ$98,MATCH(sample6!$D$5,測試方法!$A$1:$A$98,0),MATCH(sample6!B35,測試方法!$A$2:$AZ$2,0))&lt;&gt;"",INDEX(測試方法!$A$1:$AZ$98,MATCH(sample6!$D$5,測試方法!$A$1:$A$98,0),MATCH(sample6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IF(I35=1,WorkSheet!$AF$25,CONCATENATE(WorkSheet!$AF$25&amp;"D"&amp;I35))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IF(V35=1,WorkSheet!$AF$25,CONCATENATE(WorkSheet!$AF$25&amp;"D"&amp;V35))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IF(樣品清單!AU$8="","--",樣品清單!AU$8)</f>
        <v>--</v>
      </c>
      <c r="C36" s="541"/>
      <c r="D36" s="542" t="str">
        <f ca="1">IFERROR(IF(INDEX(測試方法!$A$1:$AZ$98,MATCH(sample6!$D$5,測試方法!$A$1:$A$98,0),MATCH(sample6!B36,測試方法!$A$2:$AZ$2,0))&lt;&gt;"",INDEX(測試方法!$A$1:$AZ$98,MATCH(sample6!$D$5,測試方法!$A$1:$A$98,0),MATCH(sample6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IF(I36=1,WorkSheet!$AF$25,CONCATENATE(WorkSheet!$AF$25&amp;"D"&amp;I36))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IF(V36=1,WorkSheet!$AF$25,CONCATENATE(WorkSheet!$AF$25&amp;"D"&amp;V36))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E41:E46 K41:K46 Q46 H41:H46 K43 D39 U41:U43 A12 A9:A10 N9:N10 K12 F12 G9:G10 O45 A19:A36" xr:uid="{00000000-0002-0000-0B00-000000000000}">
      <formula1>$AG$4:$AG$5</formula1>
    </dataValidation>
    <dataValidation type="list" allowBlank="1" showInputMessage="1" showErrorMessage="1" sqref="L12" xr:uid="{00000000-0002-0000-0B00-000001000000}">
      <formula1>$AG$4:$AG$7</formula1>
    </dataValidation>
    <dataValidation type="list" allowBlank="1" showInputMessage="1" showErrorMessage="1" sqref="U44" xr:uid="{00000000-0002-0000-0B00-000002000000}">
      <formula1>$AF$4:$AF$5</formula1>
    </dataValidation>
  </dataValidations>
  <hyperlinks>
    <hyperlink ref="AF1" location="WorkSheet!A1" display="批次表" xr:uid="{00000000-0004-0000-0B00-000000000000}"/>
    <hyperlink ref="AF2" location="樣品清單!A1" display="樣品清單" xr:uid="{00000000-0004-0000-0B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WorkSheet!C26&amp;WorkSheet!G26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IFERROR(INDEX(samplename,MATCH(WorkSheet!C26,Job_No,0)),"--")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IF(樣品清單!AD$9="","--",樣品清單!AD$9)</f>
        <v>--</v>
      </c>
      <c r="C19" s="574"/>
      <c r="D19" s="575" t="str">
        <f ca="1">IFERROR(IF(INDEX(測試方法!$A$1:$AZ$98,MATCH(sample7!$D$5,測試方法!$A$1:$A$98,0),MATCH(sample7!B19,測試方法!$A$2:$AZ$2,0))&lt;&gt;"",INDEX(測試方法!$A$1:$AZ$98,MATCH(sample7!$D$5,測試方法!$A$1:$A$98,0),MATCH(sample7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IF(I19=1,WorkSheet!$AF$26,CONCATENATE(WorkSheet!$AF$26&amp;"D"&amp;I19))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IF(V19=1,WorkSheet!$AF$26,CONCATENATE(WorkSheet!$AF$26&amp;"D"&amp;V19))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IF(樣品清單!AE$9="","--",樣品清單!AE$9)</f>
        <v>--</v>
      </c>
      <c r="C20" s="553"/>
      <c r="D20" s="554" t="str">
        <f ca="1">IFERROR(IF(INDEX(測試方法!$A$1:$AZ$98,MATCH(sample7!$D$5,測試方法!$A$1:$A$98,0),MATCH(sample7!B20,測試方法!$A$2:$AZ$2,0))&lt;&gt;"",INDEX(測試方法!$A$1:$AZ$98,MATCH(sample7!$D$5,測試方法!$A$1:$A$98,0),MATCH(sample7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IF(I20=1,WorkSheet!$AF$26,CONCATENATE(WorkSheet!$AF$26&amp;"D"&amp;I20))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IF(V20=1,WorkSheet!$AF$26,CONCATENATE(WorkSheet!$AF$26&amp;"D"&amp;V20))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IF(樣品清單!AF$9="","--",樣品清單!AF$9)</f>
        <v>--</v>
      </c>
      <c r="C21" s="553"/>
      <c r="D21" s="554" t="str">
        <f ca="1">IFERROR(IF(INDEX(測試方法!$A$1:$AZ$98,MATCH(sample7!$D$5,測試方法!$A$1:$A$98,0),MATCH(sample7!B21,測試方法!$A$2:$AZ$2,0))&lt;&gt;"",INDEX(測試方法!$A$1:$AZ$98,MATCH(sample7!$D$5,測試方法!$A$1:$A$98,0),MATCH(sample7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IF(I21=1,WorkSheet!$AF$26,CONCATENATE(WorkSheet!$AF$26&amp;"D"&amp;I21))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IF(V21=1,WorkSheet!$AF$26,CONCATENATE(WorkSheet!$AF$26&amp;"D"&amp;V21))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IF(樣品清單!AG$9="","--",樣品清單!AG$9)</f>
        <v>--</v>
      </c>
      <c r="C22" s="553"/>
      <c r="D22" s="554" t="str">
        <f ca="1">IFERROR(IF(INDEX(測試方法!$A$1:$AZ$98,MATCH(sample7!$D$5,測試方法!$A$1:$A$98,0),MATCH(sample7!B22,測試方法!$A$2:$AZ$2,0))&lt;&gt;"",INDEX(測試方法!$A$1:$AZ$98,MATCH(sample7!$D$5,測試方法!$A$1:$A$98,0),MATCH(sample7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IF(I22=1,WorkSheet!$AF$26,CONCATENATE(WorkSheet!$AF$26&amp;"D"&amp;I22))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IF(V22=1,WorkSheet!$AF$26,CONCATENATE(WorkSheet!$AF$26&amp;"D"&amp;V22))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IF(樣品清單!AH$9="","--",樣品清單!AH$9)</f>
        <v>--</v>
      </c>
      <c r="C23" s="553"/>
      <c r="D23" s="554" t="str">
        <f ca="1">IFERROR(IF(INDEX(測試方法!$A$1:$AZ$98,MATCH(sample7!$D$5,測試方法!$A$1:$A$98,0),MATCH(sample7!B23,測試方法!$A$2:$AZ$2,0))&lt;&gt;"",INDEX(測試方法!$A$1:$AZ$98,MATCH(sample7!$D$5,測試方法!$A$1:$A$98,0),MATCH(sample7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IF(I23=1,WorkSheet!$AF$26,CONCATENATE(WorkSheet!$AF$26&amp;"D"&amp;I23))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IF(V23=1,WorkSheet!$AF$26,CONCATENATE(WorkSheet!$AF$26&amp;"D"&amp;V23))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IF(樣品清單!AI$9="","--",樣品清單!AI$9)</f>
        <v>--</v>
      </c>
      <c r="C24" s="553"/>
      <c r="D24" s="554" t="str">
        <f ca="1">IFERROR(IF(INDEX(測試方法!$A$1:$AZ$98,MATCH(sample7!$D$5,測試方法!$A$1:$A$98,0),MATCH(sample7!B24,測試方法!$A$2:$AZ$2,0))&lt;&gt;"",INDEX(測試方法!$A$1:$AZ$98,MATCH(sample7!$D$5,測試方法!$A$1:$A$98,0),MATCH(sample7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IF(I24=1,WorkSheet!$AF$26,CONCATENATE(WorkSheet!$AF$26&amp;"D"&amp;I24))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IF(V24=1,WorkSheet!$AF$26,CONCATENATE(WorkSheet!$AF$26&amp;"D"&amp;V24))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IF(樣品清單!AJ$9="","--",樣品清單!AJ$9)</f>
        <v>--</v>
      </c>
      <c r="C25" s="553"/>
      <c r="D25" s="554" t="str">
        <f ca="1">IFERROR(IF(INDEX(測試方法!$A$1:$AZ$98,MATCH(sample7!$D$5,測試方法!$A$1:$A$98,0),MATCH(sample7!B25,測試方法!$A$2:$AZ$2,0))&lt;&gt;"",INDEX(測試方法!$A$1:$AZ$98,MATCH(sample7!$D$5,測試方法!$A$1:$A$98,0),MATCH(sample7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IF(I25=1,WorkSheet!$AF$26,CONCATENATE(WorkSheet!$AF$26&amp;"D"&amp;I25))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IF(V25=1,WorkSheet!$AF$26,CONCATENATE(WorkSheet!$AF$26&amp;"D"&amp;V25))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IF(樣品清單!AK$9="","--",樣品清單!AK$9)</f>
        <v>--</v>
      </c>
      <c r="C26" s="553"/>
      <c r="D26" s="554" t="str">
        <f ca="1">IFERROR(IF(INDEX(測試方法!$A$1:$AZ$98,MATCH(sample7!$D$5,測試方法!$A$1:$A$98,0),MATCH(sample7!B26,測試方法!$A$2:$AZ$2,0))&lt;&gt;"",INDEX(測試方法!$A$1:$AZ$98,MATCH(sample7!$D$5,測試方法!$A$1:$A$98,0),MATCH(sample7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IF(I26=1,WorkSheet!$AF$26,CONCATENATE(WorkSheet!$AF$26&amp;"D"&amp;I26))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IF(V26=1,WorkSheet!$AF$26,CONCATENATE(WorkSheet!$AF$26&amp;"D"&amp;V26))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IF(樣品清單!AL$9="","--",樣品清單!AL$9)</f>
        <v>--</v>
      </c>
      <c r="C27" s="553"/>
      <c r="D27" s="554" t="str">
        <f ca="1">IFERROR(IF(INDEX(測試方法!$A$1:$AZ$98,MATCH(sample7!$D$5,測試方法!$A$1:$A$98,0),MATCH(sample7!B27,測試方法!$A$2:$AZ$2,0))&lt;&gt;"",INDEX(測試方法!$A$1:$AZ$98,MATCH(sample7!$D$5,測試方法!$A$1:$A$98,0),MATCH(sample7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IF(I27=1,WorkSheet!$AF$26,CONCATENATE(WorkSheet!$AF$26&amp;"D"&amp;I27))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IF(V27=1,WorkSheet!$AF$26,CONCATENATE(WorkSheet!$AF$26&amp;"D"&amp;V27))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IF(樣品清單!AM$9="","--",樣品清單!AM$9)</f>
        <v>--</v>
      </c>
      <c r="C28" s="553"/>
      <c r="D28" s="554" t="str">
        <f ca="1">IFERROR(IF(INDEX(測試方法!$A$1:$AZ$98,MATCH(sample7!$D$5,測試方法!$A$1:$A$98,0),MATCH(sample7!B28,測試方法!$A$2:$AZ$2,0))&lt;&gt;"",INDEX(測試方法!$A$1:$AZ$98,MATCH(sample7!$D$5,測試方法!$A$1:$A$98,0),MATCH(sample7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IF(I28=1,WorkSheet!$AF$26,CONCATENATE(WorkSheet!$AF$26&amp;"D"&amp;I28))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IF(V28=1,WorkSheet!$AF$26,CONCATENATE(WorkSheet!$AF$26&amp;"D"&amp;V28))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IF(樣品清單!AN$9="","--",樣品清單!AN$9)</f>
        <v>--</v>
      </c>
      <c r="C29" s="553"/>
      <c r="D29" s="554" t="str">
        <f ca="1">IFERROR(IF(INDEX(測試方法!$A$1:$AZ$98,MATCH(sample7!$D$5,測試方法!$A$1:$A$98,0),MATCH(sample7!B29,測試方法!$A$2:$AZ$2,0))&lt;&gt;"",INDEX(測試方法!$A$1:$AZ$98,MATCH(sample7!$D$5,測試方法!$A$1:$A$98,0),MATCH(sample7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IF(I29=1,WorkSheet!$AF$26,CONCATENATE(WorkSheet!$AF$26&amp;"D"&amp;I29))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IF(V29=1,WorkSheet!$AF$26,CONCATENATE(WorkSheet!$AF$26&amp;"D"&amp;V29))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IF(樣品清單!AO$9="","--",樣品清單!AO$9)</f>
        <v>--</v>
      </c>
      <c r="C30" s="553"/>
      <c r="D30" s="554" t="str">
        <f ca="1">IFERROR(IF(INDEX(測試方法!$A$1:$AZ$98,MATCH(sample7!$D$5,測試方法!$A$1:$A$98,0),MATCH(sample7!B30,測試方法!$A$2:$AZ$2,0))&lt;&gt;"",INDEX(測試方法!$A$1:$AZ$98,MATCH(sample7!$D$5,測試方法!$A$1:$A$98,0),MATCH(sample7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IF(I30=1,WorkSheet!$AF$26,CONCATENATE(WorkSheet!$AF$26&amp;"D"&amp;I30))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IF(V30=1,WorkSheet!$AF$26,CONCATENATE(WorkSheet!$AF$26&amp;"D"&amp;V30))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IF(樣品清單!AP$9="","--",樣品清單!AP$9)</f>
        <v>--</v>
      </c>
      <c r="C31" s="553"/>
      <c r="D31" s="554" t="str">
        <f ca="1">IFERROR(IF(INDEX(測試方法!$A$1:$AZ$98,MATCH(sample7!$D$5,測試方法!$A$1:$A$98,0),MATCH(sample7!B31,測試方法!$A$2:$AZ$2,0))&lt;&gt;"",INDEX(測試方法!$A$1:$AZ$98,MATCH(sample7!$D$5,測試方法!$A$1:$A$98,0),MATCH(sample7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IF(I31=1,WorkSheet!$AF$26,CONCATENATE(WorkSheet!$AF$26&amp;"D"&amp;I31))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IF(V31=1,WorkSheet!$AF$26,CONCATENATE(WorkSheet!$AF$26&amp;"D"&amp;V31))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IF(樣品清單!AQ$9="","--",樣品清單!AQ$9)</f>
        <v>--</v>
      </c>
      <c r="C32" s="553"/>
      <c r="D32" s="554" t="str">
        <f ca="1">IFERROR(IF(INDEX(測試方法!$A$1:$AZ$98,MATCH(sample7!$D$5,測試方法!$A$1:$A$98,0),MATCH(sample7!B32,測試方法!$A$2:$AZ$2,0))&lt;&gt;"",INDEX(測試方法!$A$1:$AZ$98,MATCH(sample7!$D$5,測試方法!$A$1:$A$98,0),MATCH(sample7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IF(I32=1,WorkSheet!$AF$26,CONCATENATE(WorkSheet!$AF$26&amp;"D"&amp;I32))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IF(V32=1,WorkSheet!$AF$26,CONCATENATE(WorkSheet!$AF$26&amp;"D"&amp;V32))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IF(樣品清單!AR$9="","--",樣品清單!AR$9)</f>
        <v>--</v>
      </c>
      <c r="C33" s="553"/>
      <c r="D33" s="554" t="str">
        <f ca="1">IFERROR(IF(INDEX(測試方法!$A$1:$AZ$98,MATCH(sample7!$D$5,測試方法!$A$1:$A$98,0),MATCH(sample7!B33,測試方法!$A$2:$AZ$2,0))&lt;&gt;"",INDEX(測試方法!$A$1:$AZ$98,MATCH(sample7!$D$5,測試方法!$A$1:$A$98,0),MATCH(sample7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IF(I33=1,WorkSheet!$AF$26,CONCATENATE(WorkSheet!$AF$26&amp;"D"&amp;I33))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IF(V33=1,WorkSheet!$AF$26,CONCATENATE(WorkSheet!$AF$26&amp;"D"&amp;V33))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IF(樣品清單!AS$9="","--",樣品清單!AS$9)</f>
        <v>--</v>
      </c>
      <c r="C34" s="553"/>
      <c r="D34" s="554" t="str">
        <f ca="1">IFERROR(IF(INDEX(測試方法!$A$1:$AZ$98,MATCH(sample7!$D$5,測試方法!$A$1:$A$98,0),MATCH(sample7!B34,測試方法!$A$2:$AZ$2,0))&lt;&gt;"",INDEX(測試方法!$A$1:$AZ$98,MATCH(sample7!$D$5,測試方法!$A$1:$A$98,0),MATCH(sample7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IF(I34=1,WorkSheet!$AF$26,CONCATENATE(WorkSheet!$AF$26&amp;"D"&amp;I34))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IF(V34=1,WorkSheet!$AF$26,CONCATENATE(WorkSheet!$AF$26&amp;"D"&amp;V34))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IF(樣品清單!AT$9="","--",樣品清單!AT$9)</f>
        <v>--</v>
      </c>
      <c r="C35" s="553"/>
      <c r="D35" s="554" t="str">
        <f ca="1">IFERROR(IF(INDEX(測試方法!$A$1:$AZ$98,MATCH(sample7!$D$5,測試方法!$A$1:$A$98,0),MATCH(sample7!B35,測試方法!$A$2:$AZ$2,0))&lt;&gt;"",INDEX(測試方法!$A$1:$AZ$98,MATCH(sample7!$D$5,測試方法!$A$1:$A$98,0),MATCH(sample7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IF(I35=1,WorkSheet!$AF$26,CONCATENATE(WorkSheet!$AF$26&amp;"D"&amp;I35))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IF(V35=1,WorkSheet!$AF$26,CONCATENATE(WorkSheet!$AF$26&amp;"D"&amp;V35))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IF(樣品清單!AU$9="","--",樣品清單!AU$9)</f>
        <v>--</v>
      </c>
      <c r="C36" s="541"/>
      <c r="D36" s="542" t="str">
        <f ca="1">IFERROR(IF(INDEX(測試方法!$A$1:$AZ$98,MATCH(sample7!$D$5,測試方法!$A$1:$A$98,0),MATCH(sample7!B36,測試方法!$A$2:$AZ$2,0))&lt;&gt;"",INDEX(測試方法!$A$1:$AZ$98,MATCH(sample7!$D$5,測試方法!$A$1:$A$98,0),MATCH(sample7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IF(I36=1,WorkSheet!$AF$26,CONCATENATE(WorkSheet!$AF$26&amp;"D"&amp;I36))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IF(V36=1,WorkSheet!$AF$26,CONCATENATE(WorkSheet!$AF$26&amp;"D"&amp;V36))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0C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0C00-000001000000}">
      <formula1>$AG$4:$AG$5</formula1>
    </dataValidation>
    <dataValidation type="list" allowBlank="1" showInputMessage="1" showErrorMessage="1" sqref="U44" xr:uid="{00000000-0002-0000-0C00-000002000000}">
      <formula1>$AF$4:$AF$5</formula1>
    </dataValidation>
  </dataValidations>
  <hyperlinks>
    <hyperlink ref="AF1" location="WorkSheet!A1" display="批次表" xr:uid="{00000000-0004-0000-0C00-000000000000}"/>
    <hyperlink ref="AF2" location="樣品清單!A1" display="樣品清單" xr:uid="{00000000-0004-0000-0C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WorkSheet!C27&amp;WorkSheet!G27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IFERROR(INDEX(samplename,MATCH(WorkSheet!C27,Job_No,0)),"--")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IF(樣品清單!AD$10="","--",樣品清單!AD$10)</f>
        <v>--</v>
      </c>
      <c r="C19" s="574"/>
      <c r="D19" s="575" t="str">
        <f ca="1">IFERROR(IF(INDEX(測試方法!$A$1:$AZ$98,MATCH(sample8!$D$5,測試方法!$A$1:$A$98,0),MATCH(sample8!B19,測試方法!$A$2:$AZ$2,0))&lt;&gt;"",INDEX(測試方法!$A$1:$AZ$98,MATCH(sample8!$D$5,測試方法!$A$1:$A$98,0),MATCH(sample8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IF(I19=1,WorkSheet!$AF$27,CONCATENATE(WorkSheet!$AF$27&amp;"D"&amp;I19))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IF(V19=1,WorkSheet!$AF$27,CONCATENATE(WorkSheet!$AF$27&amp;"D"&amp;V19))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IF(樣品清單!AE$10="","--",樣品清單!AE$10)</f>
        <v>--</v>
      </c>
      <c r="C20" s="553"/>
      <c r="D20" s="554" t="str">
        <f ca="1">IFERROR(IF(INDEX(測試方法!$A$1:$AZ$98,MATCH(sample8!$D$5,測試方法!$A$1:$A$98,0),MATCH(sample8!B20,測試方法!$A$2:$AZ$2,0))&lt;&gt;"",INDEX(測試方法!$A$1:$AZ$98,MATCH(sample8!$D$5,測試方法!$A$1:$A$98,0),MATCH(sample8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IF(I20=1,WorkSheet!$AF$27,CONCATENATE(WorkSheet!$AF$27&amp;"D"&amp;I20))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IF(V20=1,WorkSheet!$AF$27,CONCATENATE(WorkSheet!$AF$27&amp;"D"&amp;V20))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IF(樣品清單!AF$10="","--",樣品清單!AF$10)</f>
        <v>--</v>
      </c>
      <c r="C21" s="553"/>
      <c r="D21" s="554" t="str">
        <f ca="1">IFERROR(IF(INDEX(測試方法!$A$1:$AZ$98,MATCH(sample8!$D$5,測試方法!$A$1:$A$98,0),MATCH(sample8!B21,測試方法!$A$2:$AZ$2,0))&lt;&gt;"",INDEX(測試方法!$A$1:$AZ$98,MATCH(sample8!$D$5,測試方法!$A$1:$A$98,0),MATCH(sample8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IF(I21=1,WorkSheet!$AF$27,CONCATENATE(WorkSheet!$AF$27&amp;"D"&amp;I21))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IF(V21=1,WorkSheet!$AF$27,CONCATENATE(WorkSheet!$AF$27&amp;"D"&amp;V21))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IF(樣品清單!AG$10="","--",樣品清單!AG$10)</f>
        <v>--</v>
      </c>
      <c r="C22" s="553"/>
      <c r="D22" s="554" t="str">
        <f ca="1">IFERROR(IF(INDEX(測試方法!$A$1:$AZ$98,MATCH(sample8!$D$5,測試方法!$A$1:$A$98,0),MATCH(sample8!B22,測試方法!$A$2:$AZ$2,0))&lt;&gt;"",INDEX(測試方法!$A$1:$AZ$98,MATCH(sample8!$D$5,測試方法!$A$1:$A$98,0),MATCH(sample8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IF(I22=1,WorkSheet!$AF$27,CONCATENATE(WorkSheet!$AF$27&amp;"D"&amp;I22))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IF(V22=1,WorkSheet!$AF$27,CONCATENATE(WorkSheet!$AF$27&amp;"D"&amp;V22))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IF(樣品清單!AH$10="","--",樣品清單!AH$10)</f>
        <v>--</v>
      </c>
      <c r="C23" s="553"/>
      <c r="D23" s="554" t="str">
        <f ca="1">IFERROR(IF(INDEX(測試方法!$A$1:$AZ$98,MATCH(sample8!$D$5,測試方法!$A$1:$A$98,0),MATCH(sample8!B23,測試方法!$A$2:$AZ$2,0))&lt;&gt;"",INDEX(測試方法!$A$1:$AZ$98,MATCH(sample8!$D$5,測試方法!$A$1:$A$98,0),MATCH(sample8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IF(I23=1,WorkSheet!$AF$27,CONCATENATE(WorkSheet!$AF$27&amp;"D"&amp;I23))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IF(V23=1,WorkSheet!$AF$27,CONCATENATE(WorkSheet!$AF$27&amp;"D"&amp;V23))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IF(樣品清單!AI$10="","--",樣品清單!AI$10)</f>
        <v>--</v>
      </c>
      <c r="C24" s="553"/>
      <c r="D24" s="554" t="str">
        <f ca="1">IFERROR(IF(INDEX(測試方法!$A$1:$AZ$98,MATCH(sample8!$D$5,測試方法!$A$1:$A$98,0),MATCH(sample8!B24,測試方法!$A$2:$AZ$2,0))&lt;&gt;"",INDEX(測試方法!$A$1:$AZ$98,MATCH(sample8!$D$5,測試方法!$A$1:$A$98,0),MATCH(sample8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IF(I24=1,WorkSheet!$AF$27,CONCATENATE(WorkSheet!$AF$27&amp;"D"&amp;I24))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IF(V24=1,WorkSheet!$AF$27,CONCATENATE(WorkSheet!$AF$27&amp;"D"&amp;V24))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IF(樣品清單!AJ$10="","--",樣品清單!AJ$10)</f>
        <v>--</v>
      </c>
      <c r="C25" s="553"/>
      <c r="D25" s="554" t="str">
        <f ca="1">IFERROR(IF(INDEX(測試方法!$A$1:$AZ$98,MATCH(sample8!$D$5,測試方法!$A$1:$A$98,0),MATCH(sample8!B25,測試方法!$A$2:$AZ$2,0))&lt;&gt;"",INDEX(測試方法!$A$1:$AZ$98,MATCH(sample8!$D$5,測試方法!$A$1:$A$98,0),MATCH(sample8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IF(I25=1,WorkSheet!$AF$27,CONCATENATE(WorkSheet!$AF$27&amp;"D"&amp;I25))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IF(V25=1,WorkSheet!$AF$27,CONCATENATE(WorkSheet!$AF$27&amp;"D"&amp;V25))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IF(樣品清單!AK$10="","--",樣品清單!AK$10)</f>
        <v>--</v>
      </c>
      <c r="C26" s="553"/>
      <c r="D26" s="554" t="str">
        <f ca="1">IFERROR(IF(INDEX(測試方法!$A$1:$AZ$98,MATCH(sample8!$D$5,測試方法!$A$1:$A$98,0),MATCH(sample8!B26,測試方法!$A$2:$AZ$2,0))&lt;&gt;"",INDEX(測試方法!$A$1:$AZ$98,MATCH(sample8!$D$5,測試方法!$A$1:$A$98,0),MATCH(sample8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IF(I26=1,WorkSheet!$AF$27,CONCATENATE(WorkSheet!$AF$27&amp;"D"&amp;I26))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IF(V26=1,WorkSheet!$AF$27,CONCATENATE(WorkSheet!$AF$27&amp;"D"&amp;V26))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IF(樣品清單!AL$10="","--",樣品清單!AL$10)</f>
        <v>--</v>
      </c>
      <c r="C27" s="553"/>
      <c r="D27" s="554" t="str">
        <f ca="1">IFERROR(IF(INDEX(測試方法!$A$1:$AZ$98,MATCH(sample8!$D$5,測試方法!$A$1:$A$98,0),MATCH(sample8!B27,測試方法!$A$2:$AZ$2,0))&lt;&gt;"",INDEX(測試方法!$A$1:$AZ$98,MATCH(sample8!$D$5,測試方法!$A$1:$A$98,0),MATCH(sample8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IF(I27=1,WorkSheet!$AF$27,CONCATENATE(WorkSheet!$AF$27&amp;"D"&amp;I27))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IF(V27=1,WorkSheet!$AF$27,CONCATENATE(WorkSheet!$AF$27&amp;"D"&amp;V27))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IF(樣品清單!AM$10="","--",樣品清單!AM$10)</f>
        <v>--</v>
      </c>
      <c r="C28" s="553"/>
      <c r="D28" s="554" t="str">
        <f ca="1">IFERROR(IF(INDEX(測試方法!$A$1:$AZ$98,MATCH(sample8!$D$5,測試方法!$A$1:$A$98,0),MATCH(sample8!B28,測試方法!$A$2:$AZ$2,0))&lt;&gt;"",INDEX(測試方法!$A$1:$AZ$98,MATCH(sample8!$D$5,測試方法!$A$1:$A$98,0),MATCH(sample8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IF(I28=1,WorkSheet!$AF$27,CONCATENATE(WorkSheet!$AF$27&amp;"D"&amp;I28))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IF(V28=1,WorkSheet!$AF$27,CONCATENATE(WorkSheet!$AF$27&amp;"D"&amp;V28))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IF(樣品清單!AN$10="","--",樣品清單!AN$10)</f>
        <v>--</v>
      </c>
      <c r="C29" s="553"/>
      <c r="D29" s="554" t="str">
        <f ca="1">IFERROR(IF(INDEX(測試方法!$A$1:$AZ$98,MATCH(sample8!$D$5,測試方法!$A$1:$A$98,0),MATCH(sample8!B29,測試方法!$A$2:$AZ$2,0))&lt;&gt;"",INDEX(測試方法!$A$1:$AZ$98,MATCH(sample8!$D$5,測試方法!$A$1:$A$98,0),MATCH(sample8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IF(I29=1,WorkSheet!$AF$27,CONCATENATE(WorkSheet!$AF$27&amp;"D"&amp;I29))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IF(V29=1,WorkSheet!$AF$27,CONCATENATE(WorkSheet!$AF$27&amp;"D"&amp;V29))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IF(樣品清單!AO$10="","--",樣品清單!AO$10)</f>
        <v>--</v>
      </c>
      <c r="C30" s="553"/>
      <c r="D30" s="554" t="str">
        <f ca="1">IFERROR(IF(INDEX(測試方法!$A$1:$AZ$98,MATCH(sample8!$D$5,測試方法!$A$1:$A$98,0),MATCH(sample8!B30,測試方法!$A$2:$AZ$2,0))&lt;&gt;"",INDEX(測試方法!$A$1:$AZ$98,MATCH(sample8!$D$5,測試方法!$A$1:$A$98,0),MATCH(sample8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IF(I30=1,WorkSheet!$AF$27,CONCATENATE(WorkSheet!$AF$27&amp;"D"&amp;I30))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IF(V30=1,WorkSheet!$AF$27,CONCATENATE(WorkSheet!$AF$27&amp;"D"&amp;V30))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IF(樣品清單!AP$10="","--",樣品清單!AP$10)</f>
        <v>--</v>
      </c>
      <c r="C31" s="553"/>
      <c r="D31" s="554" t="str">
        <f ca="1">IFERROR(IF(INDEX(測試方法!$A$1:$AZ$98,MATCH(sample8!$D$5,測試方法!$A$1:$A$98,0),MATCH(sample8!B31,測試方法!$A$2:$AZ$2,0))&lt;&gt;"",INDEX(測試方法!$A$1:$AZ$98,MATCH(sample8!$D$5,測試方法!$A$1:$A$98,0),MATCH(sample8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IF(I31=1,WorkSheet!$AF$27,CONCATENATE(WorkSheet!$AF$27&amp;"D"&amp;I31))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IF(V31=1,WorkSheet!$AF$27,CONCATENATE(WorkSheet!$AF$27&amp;"D"&amp;V31))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IF(樣品清單!AQ$10="","--",樣品清單!AQ$10)</f>
        <v>--</v>
      </c>
      <c r="C32" s="553"/>
      <c r="D32" s="554" t="str">
        <f ca="1">IFERROR(IF(INDEX(測試方法!$A$1:$AZ$98,MATCH(sample8!$D$5,測試方法!$A$1:$A$98,0),MATCH(sample8!B32,測試方法!$A$2:$AZ$2,0))&lt;&gt;"",INDEX(測試方法!$A$1:$AZ$98,MATCH(sample8!$D$5,測試方法!$A$1:$A$98,0),MATCH(sample8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IF(I32=1,WorkSheet!$AF$27,CONCATENATE(WorkSheet!$AF$27&amp;"D"&amp;I32))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IF(V32=1,WorkSheet!$AF$27,CONCATENATE(WorkSheet!$AF$27&amp;"D"&amp;V32))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IF(樣品清單!AR$10="","--",樣品清單!AR$10)</f>
        <v>--</v>
      </c>
      <c r="C33" s="553"/>
      <c r="D33" s="554" t="str">
        <f ca="1">IFERROR(IF(INDEX(測試方法!$A$1:$AZ$98,MATCH(sample8!$D$5,測試方法!$A$1:$A$98,0),MATCH(sample8!B33,測試方法!$A$2:$AZ$2,0))&lt;&gt;"",INDEX(測試方法!$A$1:$AZ$98,MATCH(sample8!$D$5,測試方法!$A$1:$A$98,0),MATCH(sample8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IF(I33=1,WorkSheet!$AF$27,CONCATENATE(WorkSheet!$AF$27&amp;"D"&amp;I33))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IF(V33=1,WorkSheet!$AF$27,CONCATENATE(WorkSheet!$AF$27&amp;"D"&amp;V33))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IF(樣品清單!AS$10="","--",樣品清單!AS$10)</f>
        <v>--</v>
      </c>
      <c r="C34" s="553"/>
      <c r="D34" s="554" t="str">
        <f ca="1">IFERROR(IF(INDEX(測試方法!$A$1:$AZ$98,MATCH(sample8!$D$5,測試方法!$A$1:$A$98,0),MATCH(sample8!B34,測試方法!$A$2:$AZ$2,0))&lt;&gt;"",INDEX(測試方法!$A$1:$AZ$98,MATCH(sample8!$D$5,測試方法!$A$1:$A$98,0),MATCH(sample8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IF(I34=1,WorkSheet!$AF$27,CONCATENATE(WorkSheet!$AF$27&amp;"D"&amp;I34))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IF(V34=1,WorkSheet!$AF$27,CONCATENATE(WorkSheet!$AF$27&amp;"D"&amp;V34))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IF(樣品清單!AT$10="","--",樣品清單!AT$10)</f>
        <v>--</v>
      </c>
      <c r="C35" s="553"/>
      <c r="D35" s="554" t="str">
        <f ca="1">IFERROR(IF(INDEX(測試方法!$A$1:$AZ$98,MATCH(sample8!$D$5,測試方法!$A$1:$A$98,0),MATCH(sample8!B35,測試方法!$A$2:$AZ$2,0))&lt;&gt;"",INDEX(測試方法!$A$1:$AZ$98,MATCH(sample8!$D$5,測試方法!$A$1:$A$98,0),MATCH(sample8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IF(I35=1,WorkSheet!$AF$27,CONCATENATE(WorkSheet!$AF$27&amp;"D"&amp;I35))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IF(V35=1,WorkSheet!$AF$27,CONCATENATE(WorkSheet!$AF$27&amp;"D"&amp;V35))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IF(樣品清單!AU$10="","--",樣品清單!AU$10)</f>
        <v>--</v>
      </c>
      <c r="C36" s="541"/>
      <c r="D36" s="542" t="str">
        <f ca="1">IFERROR(IF(INDEX(測試方法!$A$1:$AZ$98,MATCH(sample8!$D$5,測試方法!$A$1:$A$98,0),MATCH(sample8!B36,測試方法!$A$2:$AZ$2,0))&lt;&gt;"",INDEX(測試方法!$A$1:$AZ$98,MATCH(sample8!$D$5,測試方法!$A$1:$A$98,0),MATCH(sample8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IF(I36=1,WorkSheet!$AF$27,CONCATENATE(WorkSheet!$AF$27&amp;"D"&amp;I36))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IF(V36=1,WorkSheet!$AF$27,CONCATENATE(WorkSheet!$AF$27&amp;"D"&amp;V36))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0D00-000000000000}">
      <formula1>$AG$4:$AG$5</formula1>
    </dataValidation>
    <dataValidation type="list" allowBlank="1" showInputMessage="1" showErrorMessage="1" sqref="L12" xr:uid="{00000000-0002-0000-0D00-000001000000}">
      <formula1>$AG$4:$AG$7</formula1>
    </dataValidation>
    <dataValidation type="list" allowBlank="1" showInputMessage="1" showErrorMessage="1" sqref="U44" xr:uid="{00000000-0002-0000-0D00-000002000000}">
      <formula1>$AF$4:$AF$5</formula1>
    </dataValidation>
  </dataValidations>
  <hyperlinks>
    <hyperlink ref="AF1" location="WorkSheet!A1" display="批次表" xr:uid="{00000000-0004-0000-0D00-000000000000}"/>
    <hyperlink ref="AF2" location="樣品清單!A1" display="樣品清單" xr:uid="{00000000-0004-0000-0D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WorkSheet!C28&amp;WorkSheet!G28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IFERROR(INDEX(samplename,MATCH(WorkSheet!C28,Job_No,0)),"--")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IF(樣品清單!AD$11="","--",樣品清單!AD$11)</f>
        <v>--</v>
      </c>
      <c r="C19" s="574"/>
      <c r="D19" s="575" t="str">
        <f ca="1">IFERROR(IF(INDEX(測試方法!$A$1:$AZ$98,MATCH(sample9!$D$5,測試方法!$A$1:$A$98,0),MATCH(sample9!B19,測試方法!$A$2:$AZ$2,0))&lt;&gt;"",INDEX(測試方法!$A$1:$AZ$98,MATCH(sample9!$D$5,測試方法!$A$1:$A$98,0),MATCH(sample9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IF(I19=1,WorkSheet!$AF$28,CONCATENATE(WorkSheet!$AF$28&amp;"D"&amp;I19))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IF(V19=1,WorkSheet!$AF$28,CONCATENATE(WorkSheet!$AF$28&amp;"D"&amp;V19))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IF(樣品清單!AE$11="","--",樣品清單!AE$11)</f>
        <v>--</v>
      </c>
      <c r="C20" s="553"/>
      <c r="D20" s="554" t="str">
        <f ca="1">IFERROR(IF(INDEX(測試方法!$A$1:$AZ$98,MATCH(sample9!$D$5,測試方法!$A$1:$A$98,0),MATCH(sample9!B20,測試方法!$A$2:$AZ$2,0))&lt;&gt;"",INDEX(測試方法!$A$1:$AZ$98,MATCH(sample9!$D$5,測試方法!$A$1:$A$98,0),MATCH(sample9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IF(I20=1,WorkSheet!$AF$28,CONCATENATE(WorkSheet!$AF$28&amp;"D"&amp;I20))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IF(V20=1,WorkSheet!$AF$28,CONCATENATE(WorkSheet!$AF$28&amp;"D"&amp;V20))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IF(樣品清單!AF$11="","--",樣品清單!AF$11)</f>
        <v>--</v>
      </c>
      <c r="C21" s="553"/>
      <c r="D21" s="554" t="str">
        <f ca="1">IFERROR(IF(INDEX(測試方法!$A$1:$AZ$98,MATCH(sample9!$D$5,測試方法!$A$1:$A$98,0),MATCH(sample9!B21,測試方法!$A$2:$AZ$2,0))&lt;&gt;"",INDEX(測試方法!$A$1:$AZ$98,MATCH(sample9!$D$5,測試方法!$A$1:$A$98,0),MATCH(sample9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IF(I21=1,WorkSheet!$AF$28,CONCATENATE(WorkSheet!$AF$28&amp;"D"&amp;I21))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IF(V21=1,WorkSheet!$AF$28,CONCATENATE(WorkSheet!$AF$28&amp;"D"&amp;V21))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IF(樣品清單!AG$11="","--",樣品清單!AG$11)</f>
        <v>--</v>
      </c>
      <c r="C22" s="553"/>
      <c r="D22" s="554" t="str">
        <f ca="1">IFERROR(IF(INDEX(測試方法!$A$1:$AZ$98,MATCH(sample9!$D$5,測試方法!$A$1:$A$98,0),MATCH(sample9!B22,測試方法!$A$2:$AZ$2,0))&lt;&gt;"",INDEX(測試方法!$A$1:$AZ$98,MATCH(sample9!$D$5,測試方法!$A$1:$A$98,0),MATCH(sample9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IF(I22=1,WorkSheet!$AF$28,CONCATENATE(WorkSheet!$AF$28&amp;"D"&amp;I22))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IF(V22=1,WorkSheet!$AF$28,CONCATENATE(WorkSheet!$AF$28&amp;"D"&amp;V22))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IF(樣品清單!AH$11="","--",樣品清單!AH$11)</f>
        <v>--</v>
      </c>
      <c r="C23" s="553"/>
      <c r="D23" s="554" t="str">
        <f ca="1">IFERROR(IF(INDEX(測試方法!$A$1:$AZ$98,MATCH(sample9!$D$5,測試方法!$A$1:$A$98,0),MATCH(sample9!B23,測試方法!$A$2:$AZ$2,0))&lt;&gt;"",INDEX(測試方法!$A$1:$AZ$98,MATCH(sample9!$D$5,測試方法!$A$1:$A$98,0),MATCH(sample9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IF(I23=1,WorkSheet!$AF$28,CONCATENATE(WorkSheet!$AF$28&amp;"D"&amp;I23))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IF(V23=1,WorkSheet!$AF$28,CONCATENATE(WorkSheet!$AF$28&amp;"D"&amp;V23))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IF(樣品清單!AI$11="","--",樣品清單!AI$11)</f>
        <v>--</v>
      </c>
      <c r="C24" s="553"/>
      <c r="D24" s="554" t="str">
        <f ca="1">IFERROR(IF(INDEX(測試方法!$A$1:$AZ$98,MATCH(sample9!$D$5,測試方法!$A$1:$A$98,0),MATCH(sample9!B24,測試方法!$A$2:$AZ$2,0))&lt;&gt;"",INDEX(測試方法!$A$1:$AZ$98,MATCH(sample9!$D$5,測試方法!$A$1:$A$98,0),MATCH(sample9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IF(I24=1,WorkSheet!$AF$28,CONCATENATE(WorkSheet!$AF$28&amp;"D"&amp;I24))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IF(V24=1,WorkSheet!$AF$28,CONCATENATE(WorkSheet!$AF$28&amp;"D"&amp;V24))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IF(樣品清單!AJ$11="","--",樣品清單!AJ$11)</f>
        <v>--</v>
      </c>
      <c r="C25" s="553"/>
      <c r="D25" s="554" t="str">
        <f ca="1">IFERROR(IF(INDEX(測試方法!$A$1:$AZ$98,MATCH(sample9!$D$5,測試方法!$A$1:$A$98,0),MATCH(sample9!B25,測試方法!$A$2:$AZ$2,0))&lt;&gt;"",INDEX(測試方法!$A$1:$AZ$98,MATCH(sample9!$D$5,測試方法!$A$1:$A$98,0),MATCH(sample9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IF(I25=1,WorkSheet!$AF$28,CONCATENATE(WorkSheet!$AF$28&amp;"D"&amp;I25))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IF(V25=1,WorkSheet!$AF$28,CONCATENATE(WorkSheet!$AF$28&amp;"D"&amp;V25))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IF(樣品清單!AK$11="","--",樣品清單!AK$11)</f>
        <v>--</v>
      </c>
      <c r="C26" s="553"/>
      <c r="D26" s="554" t="str">
        <f ca="1">IFERROR(IF(INDEX(測試方法!$A$1:$AZ$98,MATCH(sample9!$D$5,測試方法!$A$1:$A$98,0),MATCH(sample9!B26,測試方法!$A$2:$AZ$2,0))&lt;&gt;"",INDEX(測試方法!$A$1:$AZ$98,MATCH(sample9!$D$5,測試方法!$A$1:$A$98,0),MATCH(sample9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IF(I26=1,WorkSheet!$AF$28,CONCATENATE(WorkSheet!$AF$28&amp;"D"&amp;I26))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IF(V26=1,WorkSheet!$AF$28,CONCATENATE(WorkSheet!$AF$28&amp;"D"&amp;V26))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IF(樣品清單!AL$11="","--",樣品清單!AL$11)</f>
        <v>--</v>
      </c>
      <c r="C27" s="553"/>
      <c r="D27" s="554" t="str">
        <f ca="1">IFERROR(IF(INDEX(測試方法!$A$1:$AZ$98,MATCH(sample9!$D$5,測試方法!$A$1:$A$98,0),MATCH(sample9!B27,測試方法!$A$2:$AZ$2,0))&lt;&gt;"",INDEX(測試方法!$A$1:$AZ$98,MATCH(sample9!$D$5,測試方法!$A$1:$A$98,0),MATCH(sample9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IF(I27=1,WorkSheet!$AF$28,CONCATENATE(WorkSheet!$AF$28&amp;"D"&amp;I27))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IF(V27=1,WorkSheet!$AF$28,CONCATENATE(WorkSheet!$AF$28&amp;"D"&amp;V27))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IF(樣品清單!AM$11="","--",樣品清單!AM$11)</f>
        <v>--</v>
      </c>
      <c r="C28" s="553"/>
      <c r="D28" s="554" t="str">
        <f ca="1">IFERROR(IF(INDEX(測試方法!$A$1:$AZ$98,MATCH(sample9!$D$5,測試方法!$A$1:$A$98,0),MATCH(sample9!B28,測試方法!$A$2:$AZ$2,0))&lt;&gt;"",INDEX(測試方法!$A$1:$AZ$98,MATCH(sample9!$D$5,測試方法!$A$1:$A$98,0),MATCH(sample9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IF(I28=1,WorkSheet!$AF$28,CONCATENATE(WorkSheet!$AF$28&amp;"D"&amp;I28))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IF(V28=1,WorkSheet!$AF$28,CONCATENATE(WorkSheet!$AF$28&amp;"D"&amp;V28))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IF(樣品清單!AN$11="","--",樣品清單!AN$11)</f>
        <v>--</v>
      </c>
      <c r="C29" s="553"/>
      <c r="D29" s="554" t="str">
        <f ca="1">IFERROR(IF(INDEX(測試方法!$A$1:$AZ$98,MATCH(sample9!$D$5,測試方法!$A$1:$A$98,0),MATCH(sample9!B29,測試方法!$A$2:$AZ$2,0))&lt;&gt;"",INDEX(測試方法!$A$1:$AZ$98,MATCH(sample9!$D$5,測試方法!$A$1:$A$98,0),MATCH(sample9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IF(I29=1,WorkSheet!$AF$28,CONCATENATE(WorkSheet!$AF$28&amp;"D"&amp;I29))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IF(V29=1,WorkSheet!$AF$28,CONCATENATE(WorkSheet!$AF$28&amp;"D"&amp;V29))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IF(樣品清單!AO$11="","--",樣品清單!AO$11)</f>
        <v>--</v>
      </c>
      <c r="C30" s="553"/>
      <c r="D30" s="554" t="str">
        <f ca="1">IFERROR(IF(INDEX(測試方法!$A$1:$AZ$98,MATCH(sample9!$D$5,測試方法!$A$1:$A$98,0),MATCH(sample9!B30,測試方法!$A$2:$AZ$2,0))&lt;&gt;"",INDEX(測試方法!$A$1:$AZ$98,MATCH(sample9!$D$5,測試方法!$A$1:$A$98,0),MATCH(sample9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IF(I30=1,WorkSheet!$AF$28,CONCATENATE(WorkSheet!$AF$28&amp;"D"&amp;I30))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IF(V30=1,WorkSheet!$AF$28,CONCATENATE(WorkSheet!$AF$28&amp;"D"&amp;V30))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IF(樣品清單!AP$11="","--",樣品清單!AP$11)</f>
        <v>--</v>
      </c>
      <c r="C31" s="553"/>
      <c r="D31" s="554" t="str">
        <f ca="1">IFERROR(IF(INDEX(測試方法!$A$1:$AZ$98,MATCH(sample9!$D$5,測試方法!$A$1:$A$98,0),MATCH(sample9!B31,測試方法!$A$2:$AZ$2,0))&lt;&gt;"",INDEX(測試方法!$A$1:$AZ$98,MATCH(sample9!$D$5,測試方法!$A$1:$A$98,0),MATCH(sample9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IF(I31=1,WorkSheet!$AF$28,CONCATENATE(WorkSheet!$AF$28&amp;"D"&amp;I31))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IF(V31=1,WorkSheet!$AF$28,CONCATENATE(WorkSheet!$AF$28&amp;"D"&amp;V31))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IF(樣品清單!AQ$11="","--",樣品清單!AQ$11)</f>
        <v>--</v>
      </c>
      <c r="C32" s="553"/>
      <c r="D32" s="554" t="str">
        <f ca="1">IFERROR(IF(INDEX(測試方法!$A$1:$AZ$98,MATCH(sample9!$D$5,測試方法!$A$1:$A$98,0),MATCH(sample9!B32,測試方法!$A$2:$AZ$2,0))&lt;&gt;"",INDEX(測試方法!$A$1:$AZ$98,MATCH(sample9!$D$5,測試方法!$A$1:$A$98,0),MATCH(sample9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IF(I32=1,WorkSheet!$AF$28,CONCATENATE(WorkSheet!$AF$28&amp;"D"&amp;I32))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IF(V32=1,WorkSheet!$AF$28,CONCATENATE(WorkSheet!$AF$28&amp;"D"&amp;V32))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IF(樣品清單!AR$11="","--",樣品清單!AR$11)</f>
        <v>--</v>
      </c>
      <c r="C33" s="553"/>
      <c r="D33" s="554" t="str">
        <f ca="1">IFERROR(IF(INDEX(測試方法!$A$1:$AZ$98,MATCH(sample9!$D$5,測試方法!$A$1:$A$98,0),MATCH(sample9!B33,測試方法!$A$2:$AZ$2,0))&lt;&gt;"",INDEX(測試方法!$A$1:$AZ$98,MATCH(sample9!$D$5,測試方法!$A$1:$A$98,0),MATCH(sample9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IF(I33=1,WorkSheet!$AF$28,CONCATENATE(WorkSheet!$AF$28&amp;"D"&amp;I33))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IF(V33=1,WorkSheet!$AF$28,CONCATENATE(WorkSheet!$AF$28&amp;"D"&amp;V33))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IF(樣品清單!AS$11="","--",樣品清單!AS$11)</f>
        <v>--</v>
      </c>
      <c r="C34" s="553"/>
      <c r="D34" s="554" t="str">
        <f ca="1">IFERROR(IF(INDEX(測試方法!$A$1:$AZ$98,MATCH(sample9!$D$5,測試方法!$A$1:$A$98,0),MATCH(sample9!B34,測試方法!$A$2:$AZ$2,0))&lt;&gt;"",INDEX(測試方法!$A$1:$AZ$98,MATCH(sample9!$D$5,測試方法!$A$1:$A$98,0),MATCH(sample9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IF(I34=1,WorkSheet!$AF$28,CONCATENATE(WorkSheet!$AF$28&amp;"D"&amp;I34))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IF(V34=1,WorkSheet!$AF$28,CONCATENATE(WorkSheet!$AF$28&amp;"D"&amp;V34))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IF(樣品清單!AT$11="","--",樣品清單!AT$11)</f>
        <v>--</v>
      </c>
      <c r="C35" s="553"/>
      <c r="D35" s="554" t="str">
        <f ca="1">IFERROR(IF(INDEX(測試方法!$A$1:$AZ$98,MATCH(sample9!$D$5,測試方法!$A$1:$A$98,0),MATCH(sample9!B35,測試方法!$A$2:$AZ$2,0))&lt;&gt;"",INDEX(測試方法!$A$1:$AZ$98,MATCH(sample9!$D$5,測試方法!$A$1:$A$98,0),MATCH(sample9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IF(I35=1,WorkSheet!$AF$28,CONCATENATE(WorkSheet!$AF$28&amp;"D"&amp;I35))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IF(V35=1,WorkSheet!$AF$28,CONCATENATE(WorkSheet!$AF$28&amp;"D"&amp;V35))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9" t="str">
        <f ca="1">IF(樣品清單!AU$11="","--",樣品清單!AU$11)</f>
        <v>--</v>
      </c>
      <c r="C36" s="46"/>
      <c r="D36" s="542" t="str">
        <f ca="1">IFERROR(IF(INDEX(測試方法!$A$1:$AZ$98,MATCH(sample9!$D$5,測試方法!$A$1:$A$98,0),MATCH(sample9!B36,測試方法!$A$2:$AZ$2,0))&lt;&gt;"",INDEX(測試方法!$A$1:$AZ$98,MATCH(sample9!$D$5,測試方法!$A$1:$A$98,0),MATCH(sample9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IF(I36=1,WorkSheet!$AF$28,CONCATENATE(WorkSheet!$AF$28&amp;"D"&amp;I36))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IF(V36=1,WorkSheet!$AF$28,CONCATENATE(WorkSheet!$AF$28&amp;"D"&amp;V36))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6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0E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0E00-000001000000}">
      <formula1>$AG$4:$AG$5</formula1>
    </dataValidation>
    <dataValidation type="list" allowBlank="1" showInputMessage="1" showErrorMessage="1" sqref="U44" xr:uid="{00000000-0002-0000-0E00-000002000000}">
      <formula1>$AF$4:$AF$5</formula1>
    </dataValidation>
  </dataValidations>
  <hyperlinks>
    <hyperlink ref="AF1" location="WorkSheet!A1" display="批次表" xr:uid="{00000000-0004-0000-0E00-000000000000}"/>
    <hyperlink ref="AF2" location="樣品清單!A1" display="樣品清單" xr:uid="{00000000-0004-0000-0E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WorkSheet!C29&amp;WorkSheet!G29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IFERROR(INDEX(samplename,MATCH(WorkSheet!C29,Job_No,0)),"--")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IF(樣品清單!AD$12="","--",樣品清單!AD$12)</f>
        <v>--</v>
      </c>
      <c r="C19" s="574"/>
      <c r="D19" s="575" t="str">
        <f ca="1">IFERROR(IF(INDEX(測試方法!$A$1:$AZ$98,MATCH(sample10!$D$5,測試方法!$A$1:$A$98,0),MATCH(sample10!B19,測試方法!$A$2:$AZ$2,0))&lt;&gt;"",INDEX(測試方法!$A$1:$AZ$98,MATCH(sample10!$D$5,測試方法!$A$1:$A$98,0),MATCH(sample10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IF(I19=1,WorkSheet!$AF$29,CONCATENATE(WorkSheet!$AF$29&amp;"D"&amp;I19))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IF(V19=1,WorkSheet!$AF$29,CONCATENATE(WorkSheet!$AF$29&amp;"D"&amp;V19))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IF(樣品清單!AE$12="","--",樣品清單!AE$12)</f>
        <v>--</v>
      </c>
      <c r="C20" s="553"/>
      <c r="D20" s="554" t="str">
        <f ca="1">IFERROR(IF(INDEX(測試方法!$A$1:$AZ$98,MATCH(sample10!$D$5,測試方法!$A$1:$A$98,0),MATCH(sample10!B20,測試方法!$A$2:$AZ$2,0))&lt;&gt;"",INDEX(測試方法!$A$1:$AZ$98,MATCH(sample10!$D$5,測試方法!$A$1:$A$98,0),MATCH(sample10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IF(I20=1,WorkSheet!$AF$29,CONCATENATE(WorkSheet!$AF$29&amp;"D"&amp;I20))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IF(V20=1,WorkSheet!$AF$29,CONCATENATE(WorkSheet!$AF$29&amp;"D"&amp;V20))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IF(樣品清單!AF$12="","--",樣品清單!AF$12)</f>
        <v>--</v>
      </c>
      <c r="C21" s="553"/>
      <c r="D21" s="554" t="str">
        <f ca="1">IFERROR(IF(INDEX(測試方法!$A$1:$AZ$98,MATCH(sample10!$D$5,測試方法!$A$1:$A$98,0),MATCH(sample10!B21,測試方法!$A$2:$AZ$2,0))&lt;&gt;"",INDEX(測試方法!$A$1:$AZ$98,MATCH(sample10!$D$5,測試方法!$A$1:$A$98,0),MATCH(sample10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IF(I21=1,WorkSheet!$AF$29,CONCATENATE(WorkSheet!$AF$29&amp;"D"&amp;I21))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IF(V21=1,WorkSheet!$AF$29,CONCATENATE(WorkSheet!$AF$29&amp;"D"&amp;V21))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IF(樣品清單!AG$12="","--",樣品清單!AG$12)</f>
        <v>--</v>
      </c>
      <c r="C22" s="553"/>
      <c r="D22" s="554" t="str">
        <f ca="1">IFERROR(IF(INDEX(測試方法!$A$1:$AZ$98,MATCH(sample10!$D$5,測試方法!$A$1:$A$98,0),MATCH(sample10!B22,測試方法!$A$2:$AZ$2,0))&lt;&gt;"",INDEX(測試方法!$A$1:$AZ$98,MATCH(sample10!$D$5,測試方法!$A$1:$A$98,0),MATCH(sample10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IF(I22=1,WorkSheet!$AF$29,CONCATENATE(WorkSheet!$AF$29&amp;"D"&amp;I22))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IF(V22=1,WorkSheet!$AF$29,CONCATENATE(WorkSheet!$AF$29&amp;"D"&amp;V22))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IF(樣品清單!AH$12="","--",樣品清單!AH$12)</f>
        <v>--</v>
      </c>
      <c r="C23" s="553"/>
      <c r="D23" s="554" t="str">
        <f ca="1">IFERROR(IF(INDEX(測試方法!$A$1:$AZ$98,MATCH(sample10!$D$5,測試方法!$A$1:$A$98,0),MATCH(sample10!B23,測試方法!$A$2:$AZ$2,0))&lt;&gt;"",INDEX(測試方法!$A$1:$AZ$98,MATCH(sample10!$D$5,測試方法!$A$1:$A$98,0),MATCH(sample10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IF(I23=1,WorkSheet!$AF$29,CONCATENATE(WorkSheet!$AF$29&amp;"D"&amp;I23))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IF(V23=1,WorkSheet!$AF$29,CONCATENATE(WorkSheet!$AF$29&amp;"D"&amp;V23))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IF(樣品清單!AI$12="","--",樣品清單!AI$12)</f>
        <v>--</v>
      </c>
      <c r="C24" s="553"/>
      <c r="D24" s="554" t="str">
        <f ca="1">IFERROR(IF(INDEX(測試方法!$A$1:$AZ$98,MATCH(sample10!$D$5,測試方法!$A$1:$A$98,0),MATCH(sample10!B24,測試方法!$A$2:$AZ$2,0))&lt;&gt;"",INDEX(測試方法!$A$1:$AZ$98,MATCH(sample10!$D$5,測試方法!$A$1:$A$98,0),MATCH(sample10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IF(I24=1,WorkSheet!$AF$29,CONCATENATE(WorkSheet!$AF$29&amp;"D"&amp;I24))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IF(V24=1,WorkSheet!$AF$29,CONCATENATE(WorkSheet!$AF$29&amp;"D"&amp;V24))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IF(樣品清單!AJ$12="","--",樣品清單!AJ$12)</f>
        <v>--</v>
      </c>
      <c r="C25" s="553"/>
      <c r="D25" s="554" t="str">
        <f ca="1">IFERROR(IF(INDEX(測試方法!$A$1:$AZ$98,MATCH(sample10!$D$5,測試方法!$A$1:$A$98,0),MATCH(sample10!B25,測試方法!$A$2:$AZ$2,0))&lt;&gt;"",INDEX(測試方法!$A$1:$AZ$98,MATCH(sample10!$D$5,測試方法!$A$1:$A$98,0),MATCH(sample10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IF(I25=1,WorkSheet!$AF$29,CONCATENATE(WorkSheet!$AF$29&amp;"D"&amp;I25))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IF(V25=1,WorkSheet!$AF$29,CONCATENATE(WorkSheet!$AF$29&amp;"D"&amp;V25))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IF(樣品清單!AK$12="","--",樣品清單!AK$12)</f>
        <v>--</v>
      </c>
      <c r="C26" s="553"/>
      <c r="D26" s="554" t="str">
        <f ca="1">IFERROR(IF(INDEX(測試方法!$A$1:$AZ$98,MATCH(sample10!$D$5,測試方法!$A$1:$A$98,0),MATCH(sample10!B26,測試方法!$A$2:$AZ$2,0))&lt;&gt;"",INDEX(測試方法!$A$1:$AZ$98,MATCH(sample10!$D$5,測試方法!$A$1:$A$98,0),MATCH(sample10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IF(I26=1,WorkSheet!$AF$29,CONCATENATE(WorkSheet!$AF$29&amp;"D"&amp;I26))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IF(V26=1,WorkSheet!$AF$29,CONCATENATE(WorkSheet!$AF$29&amp;"D"&amp;V26))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IF(樣品清單!AL$12="","--",樣品清單!AL$12)</f>
        <v>--</v>
      </c>
      <c r="C27" s="553"/>
      <c r="D27" s="554" t="str">
        <f ca="1">IFERROR(IF(INDEX(測試方法!$A$1:$AZ$98,MATCH(sample10!$D$5,測試方法!$A$1:$A$98,0),MATCH(sample10!B27,測試方法!$A$2:$AZ$2,0))&lt;&gt;"",INDEX(測試方法!$A$1:$AZ$98,MATCH(sample10!$D$5,測試方法!$A$1:$A$98,0),MATCH(sample10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IF(I27=1,WorkSheet!$AF$29,CONCATENATE(WorkSheet!$AF$29&amp;"D"&amp;I27))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IF(V27=1,WorkSheet!$AF$29,CONCATENATE(WorkSheet!$AF$29&amp;"D"&amp;V27))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IF(樣品清單!AM$12="","--",樣品清單!AM$12)</f>
        <v>--</v>
      </c>
      <c r="C28" s="553"/>
      <c r="D28" s="554" t="str">
        <f ca="1">IFERROR(IF(INDEX(測試方法!$A$1:$AZ$98,MATCH(sample10!$D$5,測試方法!$A$1:$A$98,0),MATCH(sample10!B28,測試方法!$A$2:$AZ$2,0))&lt;&gt;"",INDEX(測試方法!$A$1:$AZ$98,MATCH(sample10!$D$5,測試方法!$A$1:$A$98,0),MATCH(sample10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IF(I28=1,WorkSheet!$AF$29,CONCATENATE(WorkSheet!$AF$29&amp;"D"&amp;I28))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IF(V28=1,WorkSheet!$AF$29,CONCATENATE(WorkSheet!$AF$29&amp;"D"&amp;V28))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IF(樣品清單!AN$12="","--",樣品清單!AN$12)</f>
        <v>--</v>
      </c>
      <c r="C29" s="553"/>
      <c r="D29" s="554" t="str">
        <f ca="1">IFERROR(IF(INDEX(測試方法!$A$1:$AZ$98,MATCH(sample10!$D$5,測試方法!$A$1:$A$98,0),MATCH(sample10!B29,測試方法!$A$2:$AZ$2,0))&lt;&gt;"",INDEX(測試方法!$A$1:$AZ$98,MATCH(sample10!$D$5,測試方法!$A$1:$A$98,0),MATCH(sample10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IF(I29=1,WorkSheet!$AF$29,CONCATENATE(WorkSheet!$AF$29&amp;"D"&amp;I29))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IF(V29=1,WorkSheet!$AF$29,CONCATENATE(WorkSheet!$AF$29&amp;"D"&amp;V29))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IF(樣品清單!AO$12="","--",樣品清單!AO$12)</f>
        <v>--</v>
      </c>
      <c r="C30" s="553"/>
      <c r="D30" s="554" t="str">
        <f ca="1">IFERROR(IF(INDEX(測試方法!$A$1:$AZ$98,MATCH(sample10!$D$5,測試方法!$A$1:$A$98,0),MATCH(sample10!B30,測試方法!$A$2:$AZ$2,0))&lt;&gt;"",INDEX(測試方法!$A$1:$AZ$98,MATCH(sample10!$D$5,測試方法!$A$1:$A$98,0),MATCH(sample10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IF(I30=1,WorkSheet!$AF$29,CONCATENATE(WorkSheet!$AF$29&amp;"D"&amp;I30))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IF(V30=1,WorkSheet!$AF$29,CONCATENATE(WorkSheet!$AF$29&amp;"D"&amp;V30))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IF(樣品清單!AP$12="","--",樣品清單!AP$12)</f>
        <v>--</v>
      </c>
      <c r="C31" s="553"/>
      <c r="D31" s="554" t="str">
        <f ca="1">IFERROR(IF(INDEX(測試方法!$A$1:$AZ$98,MATCH(sample10!$D$5,測試方法!$A$1:$A$98,0),MATCH(sample10!B31,測試方法!$A$2:$AZ$2,0))&lt;&gt;"",INDEX(測試方法!$A$1:$AZ$98,MATCH(sample10!$D$5,測試方法!$A$1:$A$98,0),MATCH(sample10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IF(I31=1,WorkSheet!$AF$29,CONCATENATE(WorkSheet!$AF$29&amp;"D"&amp;I31))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IF(V31=1,WorkSheet!$AF$29,CONCATENATE(WorkSheet!$AF$29&amp;"D"&amp;V31))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IF(樣品清單!AQ$12="","--",樣品清單!AQ$12)</f>
        <v>--</v>
      </c>
      <c r="C32" s="553"/>
      <c r="D32" s="554" t="str">
        <f ca="1">IFERROR(IF(INDEX(測試方法!$A$1:$AZ$98,MATCH(sample10!$D$5,測試方法!$A$1:$A$98,0),MATCH(sample10!B32,測試方法!$A$2:$AZ$2,0))&lt;&gt;"",INDEX(測試方法!$A$1:$AZ$98,MATCH(sample10!$D$5,測試方法!$A$1:$A$98,0),MATCH(sample10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IF(I32=1,WorkSheet!$AF$29,CONCATENATE(WorkSheet!$AF$29&amp;"D"&amp;I32))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IF(V32=1,WorkSheet!$AF$29,CONCATENATE(WorkSheet!$AF$29&amp;"D"&amp;V32))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IF(樣品清單!AR$12="","--",樣品清單!AR$12)</f>
        <v>--</v>
      </c>
      <c r="C33" s="553"/>
      <c r="D33" s="554" t="str">
        <f ca="1">IFERROR(IF(INDEX(測試方法!$A$1:$AZ$98,MATCH(sample10!$D$5,測試方法!$A$1:$A$98,0),MATCH(sample10!B33,測試方法!$A$2:$AZ$2,0))&lt;&gt;"",INDEX(測試方法!$A$1:$AZ$98,MATCH(sample10!$D$5,測試方法!$A$1:$A$98,0),MATCH(sample10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IF(I33=1,WorkSheet!$AF$29,CONCATENATE(WorkSheet!$AF$29&amp;"D"&amp;I33))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IF(V33=1,WorkSheet!$AF$29,CONCATENATE(WorkSheet!$AF$29&amp;"D"&amp;V33))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IF(樣品清單!AS$12="","--",樣品清單!AS$12)</f>
        <v>--</v>
      </c>
      <c r="C34" s="553"/>
      <c r="D34" s="554" t="str">
        <f ca="1">IFERROR(IF(INDEX(測試方法!$A$1:$AZ$98,MATCH(sample10!$D$5,測試方法!$A$1:$A$98,0),MATCH(sample10!B34,測試方法!$A$2:$AZ$2,0))&lt;&gt;"",INDEX(測試方法!$A$1:$AZ$98,MATCH(sample10!$D$5,測試方法!$A$1:$A$98,0),MATCH(sample10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IF(I34=1,WorkSheet!$AF$29,CONCATENATE(WorkSheet!$AF$29&amp;"D"&amp;I34))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IF(V34=1,WorkSheet!$AF$29,CONCATENATE(WorkSheet!$AF$29&amp;"D"&amp;V34))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IF(樣品清單!AT$12="","--",樣品清單!AT$12)</f>
        <v>--</v>
      </c>
      <c r="C35" s="553"/>
      <c r="D35" s="554" t="str">
        <f ca="1">IFERROR(IF(INDEX(測試方法!$A$1:$AZ$98,MATCH(sample10!$D$5,測試方法!$A$1:$A$98,0),MATCH(sample10!B35,測試方法!$A$2:$AZ$2,0))&lt;&gt;"",INDEX(測試方法!$A$1:$AZ$98,MATCH(sample10!$D$5,測試方法!$A$1:$A$98,0),MATCH(sample10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IF(I35=1,WorkSheet!$AF$29,CONCATENATE(WorkSheet!$AF$29&amp;"D"&amp;I35))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IF(V35=1,WorkSheet!$AF$29,CONCATENATE(WorkSheet!$AF$29&amp;"D"&amp;V35))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IF(樣品清單!AU$12="","--",樣品清單!AU$12)</f>
        <v>--</v>
      </c>
      <c r="C36" s="541"/>
      <c r="D36" s="542" t="str">
        <f ca="1">IFERROR(IF(INDEX(測試方法!$A$1:$AZ$98,MATCH(sample10!$D$5,測試方法!$A$1:$A$98,0),MATCH(sample10!B36,測試方法!$A$2:$AZ$2,0))&lt;&gt;"",INDEX(測試方法!$A$1:$AZ$98,MATCH(sample10!$D$5,測試方法!$A$1:$A$98,0),MATCH(sample10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IF(I36=1,WorkSheet!$AF$29,CONCATENATE(WorkSheet!$AF$29&amp;"D"&amp;I36))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IF(V36=1,WorkSheet!$AF$29,CONCATENATE(WorkSheet!$AF$29&amp;"D"&amp;V36))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0F00-000000000000}">
      <formula1>$AG$4:$AG$5</formula1>
    </dataValidation>
    <dataValidation type="list" allowBlank="1" showInputMessage="1" showErrorMessage="1" sqref="L12" xr:uid="{00000000-0002-0000-0F00-000001000000}">
      <formula1>$AG$4:$AG$7</formula1>
    </dataValidation>
    <dataValidation type="list" allowBlank="1" showInputMessage="1" showErrorMessage="1" sqref="U44" xr:uid="{00000000-0002-0000-0F00-000002000000}">
      <formula1>$AF$4:$AF$5</formula1>
    </dataValidation>
  </dataValidations>
  <hyperlinks>
    <hyperlink ref="AF1" location="WorkSheet!A1" display="批次表" xr:uid="{00000000-0004-0000-0F00-000000000000}"/>
    <hyperlink ref="AF2" location="樣品清單!A1" display="樣品清單" xr:uid="{00000000-0004-0000-0F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WorkSheet!C30&amp;WorkSheet!G30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IFERROR(INDEX(samplename,MATCH(WorkSheet!C30,Job_No,0)),"--")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IF(樣品清單!AD$13="","--",樣品清單!AD$13)</f>
        <v>--</v>
      </c>
      <c r="C19" s="574"/>
      <c r="D19" s="575" t="str">
        <f ca="1">IFERROR(IF(INDEX(測試方法!$A$1:$AZ$98,MATCH(sample11!$D$5,測試方法!$A$1:$A$98,0),MATCH(sample11!B19,測試方法!$A$2:$AZ$2,0))&lt;&gt;"",INDEX(測試方法!$A$1:$AZ$98,MATCH(sample11!$D$5,測試方法!$A$1:$A$98,0),MATCH(sample11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IF(I19=1,WorkSheet!$AF$30,CONCATENATE(WorkSheet!$AF$30&amp;"D"&amp;I19))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IF(V19=1,WorkSheet!$AF$30,CONCATENATE(WorkSheet!$AF$30&amp;"D"&amp;V19))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IF(樣品清單!AE$13="","--",樣品清單!AE$13)</f>
        <v>--</v>
      </c>
      <c r="C20" s="553"/>
      <c r="D20" s="554" t="str">
        <f ca="1">IFERROR(IF(INDEX(測試方法!$A$1:$AZ$98,MATCH(sample11!$D$5,測試方法!$A$1:$A$98,0),MATCH(sample11!B20,測試方法!$A$2:$AZ$2,0))&lt;&gt;"",INDEX(測試方法!$A$1:$AZ$98,MATCH(sample11!$D$5,測試方法!$A$1:$A$98,0),MATCH(sample11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IF(I20=1,WorkSheet!$AF$30,CONCATENATE(WorkSheet!$AF$30&amp;"D"&amp;I20))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IF(V20=1,WorkSheet!$AF$30,CONCATENATE(WorkSheet!$AF$30&amp;"D"&amp;V20))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IF(樣品清單!AF$13="","--",樣品清單!AF$13)</f>
        <v>--</v>
      </c>
      <c r="C21" s="553"/>
      <c r="D21" s="554" t="str">
        <f ca="1">IFERROR(IF(INDEX(測試方法!$A$1:$AZ$98,MATCH(sample11!$D$5,測試方法!$A$1:$A$98,0),MATCH(sample11!B21,測試方法!$A$2:$AZ$2,0))&lt;&gt;"",INDEX(測試方法!$A$1:$AZ$98,MATCH(sample11!$D$5,測試方法!$A$1:$A$98,0),MATCH(sample11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IF(I21=1,WorkSheet!$AF$30,CONCATENATE(WorkSheet!$AF$30&amp;"D"&amp;I21))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IF(V21=1,WorkSheet!$AF$30,CONCATENATE(WorkSheet!$AF$30&amp;"D"&amp;V21))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IF(樣品清單!AG$13="","--",樣品清單!AG$13)</f>
        <v>--</v>
      </c>
      <c r="C22" s="553"/>
      <c r="D22" s="554" t="str">
        <f ca="1">IFERROR(IF(INDEX(測試方法!$A$1:$AZ$98,MATCH(sample11!$D$5,測試方法!$A$1:$A$98,0),MATCH(sample11!B22,測試方法!$A$2:$AZ$2,0))&lt;&gt;"",INDEX(測試方法!$A$1:$AZ$98,MATCH(sample11!$D$5,測試方法!$A$1:$A$98,0),MATCH(sample11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IF(I22=1,WorkSheet!$AF$30,CONCATENATE(WorkSheet!$AF$30&amp;"D"&amp;I22))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IF(V22=1,WorkSheet!$AF$30,CONCATENATE(WorkSheet!$AF$30&amp;"D"&amp;V22))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IF(樣品清單!AH$13="","--",樣品清單!AH$13)</f>
        <v>--</v>
      </c>
      <c r="C23" s="553"/>
      <c r="D23" s="554" t="str">
        <f ca="1">IFERROR(IF(INDEX(測試方法!$A$1:$AZ$98,MATCH(sample11!$D$5,測試方法!$A$1:$A$98,0),MATCH(sample11!B23,測試方法!$A$2:$AZ$2,0))&lt;&gt;"",INDEX(測試方法!$A$1:$AZ$98,MATCH(sample11!$D$5,測試方法!$A$1:$A$98,0),MATCH(sample11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IF(I23=1,WorkSheet!$AF$30,CONCATENATE(WorkSheet!$AF$30&amp;"D"&amp;I23))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IF(V23=1,WorkSheet!$AF$30,CONCATENATE(WorkSheet!$AF$30&amp;"D"&amp;V23))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IF(樣品清單!AI$13="","--",樣品清單!AI$13)</f>
        <v>--</v>
      </c>
      <c r="C24" s="553"/>
      <c r="D24" s="554" t="str">
        <f ca="1">IFERROR(IF(INDEX(測試方法!$A$1:$AZ$98,MATCH(sample11!$D$5,測試方法!$A$1:$A$98,0),MATCH(sample11!B24,測試方法!$A$2:$AZ$2,0))&lt;&gt;"",INDEX(測試方法!$A$1:$AZ$98,MATCH(sample11!$D$5,測試方法!$A$1:$A$98,0),MATCH(sample11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IF(I24=1,WorkSheet!$AF$30,CONCATENATE(WorkSheet!$AF$30&amp;"D"&amp;I24))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IF(V24=1,WorkSheet!$AF$30,CONCATENATE(WorkSheet!$AF$30&amp;"D"&amp;V24))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IF(樣品清單!AJ$13="","--",樣品清單!AJ$13)</f>
        <v>--</v>
      </c>
      <c r="C25" s="553"/>
      <c r="D25" s="554" t="str">
        <f ca="1">IFERROR(IF(INDEX(測試方法!$A$1:$AZ$98,MATCH(sample11!$D$5,測試方法!$A$1:$A$98,0),MATCH(sample11!B25,測試方法!$A$2:$AZ$2,0))&lt;&gt;"",INDEX(測試方法!$A$1:$AZ$98,MATCH(sample11!$D$5,測試方法!$A$1:$A$98,0),MATCH(sample11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IF(I25=1,WorkSheet!$AF$30,CONCATENATE(WorkSheet!$AF$30&amp;"D"&amp;I25))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IF(V25=1,WorkSheet!$AF$30,CONCATENATE(WorkSheet!$AF$30&amp;"D"&amp;V25))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IF(樣品清單!AK$13="","--",樣品清單!AK$13)</f>
        <v>--</v>
      </c>
      <c r="C26" s="553"/>
      <c r="D26" s="554" t="str">
        <f ca="1">IFERROR(IF(INDEX(測試方法!$A$1:$AZ$98,MATCH(sample11!$D$5,測試方法!$A$1:$A$98,0),MATCH(sample11!B26,測試方法!$A$2:$AZ$2,0))&lt;&gt;"",INDEX(測試方法!$A$1:$AZ$98,MATCH(sample11!$D$5,測試方法!$A$1:$A$98,0),MATCH(sample11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IF(I26=1,WorkSheet!$AF$30,CONCATENATE(WorkSheet!$AF$30&amp;"D"&amp;I26))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IF(V26=1,WorkSheet!$AF$30,CONCATENATE(WorkSheet!$AF$30&amp;"D"&amp;V26))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IF(樣品清單!AL$13="","--",樣品清單!AL$13)</f>
        <v>--</v>
      </c>
      <c r="C27" s="553"/>
      <c r="D27" s="554" t="str">
        <f ca="1">IFERROR(IF(INDEX(測試方法!$A$1:$AZ$98,MATCH(sample11!$D$5,測試方法!$A$1:$A$98,0),MATCH(sample11!B27,測試方法!$A$2:$AZ$2,0))&lt;&gt;"",INDEX(測試方法!$A$1:$AZ$98,MATCH(sample11!$D$5,測試方法!$A$1:$A$98,0),MATCH(sample11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IF(I27=1,WorkSheet!$AF$30,CONCATENATE(WorkSheet!$AF$30&amp;"D"&amp;I27))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IF(V27=1,WorkSheet!$AF$30,CONCATENATE(WorkSheet!$AF$30&amp;"D"&amp;V27))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IF(樣品清單!AM$13="","--",樣品清單!AM$13)</f>
        <v>--</v>
      </c>
      <c r="C28" s="553"/>
      <c r="D28" s="554" t="str">
        <f ca="1">IFERROR(IF(INDEX(測試方法!$A$1:$AZ$98,MATCH(sample11!$D$5,測試方法!$A$1:$A$98,0),MATCH(sample11!B28,測試方法!$A$2:$AZ$2,0))&lt;&gt;"",INDEX(測試方法!$A$1:$AZ$98,MATCH(sample11!$D$5,測試方法!$A$1:$A$98,0),MATCH(sample11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IF(I28=1,WorkSheet!$AF$30,CONCATENATE(WorkSheet!$AF$30&amp;"D"&amp;I28))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IF(V28=1,WorkSheet!$AF$30,CONCATENATE(WorkSheet!$AF$30&amp;"D"&amp;V28))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IF(樣品清單!AN$13="","--",樣品清單!AN$13)</f>
        <v>--</v>
      </c>
      <c r="C29" s="553"/>
      <c r="D29" s="554" t="str">
        <f ca="1">IFERROR(IF(INDEX(測試方法!$A$1:$AZ$98,MATCH(sample11!$D$5,測試方法!$A$1:$A$98,0),MATCH(sample11!B29,測試方法!$A$2:$AZ$2,0))&lt;&gt;"",INDEX(測試方法!$A$1:$AZ$98,MATCH(sample11!$D$5,測試方法!$A$1:$A$98,0),MATCH(sample11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IF(I29=1,WorkSheet!$AF$30,CONCATENATE(WorkSheet!$AF$30&amp;"D"&amp;I29))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IF(V29=1,WorkSheet!$AF$30,CONCATENATE(WorkSheet!$AF$30&amp;"D"&amp;V29))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IF(樣品清單!AO$13="","--",樣品清單!AO$13)</f>
        <v>--</v>
      </c>
      <c r="C30" s="553"/>
      <c r="D30" s="554" t="str">
        <f ca="1">IFERROR(IF(INDEX(測試方法!$A$1:$AZ$98,MATCH(sample11!$D$5,測試方法!$A$1:$A$98,0),MATCH(sample11!B30,測試方法!$A$2:$AZ$2,0))&lt;&gt;"",INDEX(測試方法!$A$1:$AZ$98,MATCH(sample11!$D$5,測試方法!$A$1:$A$98,0),MATCH(sample11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IF(I30=1,WorkSheet!$AF$30,CONCATENATE(WorkSheet!$AF$30&amp;"D"&amp;I30))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IF(V30=1,WorkSheet!$AF$30,CONCATENATE(WorkSheet!$AF$30&amp;"D"&amp;V30))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IF(樣品清單!AP$13="","--",樣品清單!AP$13)</f>
        <v>--</v>
      </c>
      <c r="C31" s="553"/>
      <c r="D31" s="554" t="str">
        <f ca="1">IFERROR(IF(INDEX(測試方法!$A$1:$AZ$98,MATCH(sample11!$D$5,測試方法!$A$1:$A$98,0),MATCH(sample11!B31,測試方法!$A$2:$AZ$2,0))&lt;&gt;"",INDEX(測試方法!$A$1:$AZ$98,MATCH(sample11!$D$5,測試方法!$A$1:$A$98,0),MATCH(sample11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IF(I31=1,WorkSheet!$AF$30,CONCATENATE(WorkSheet!$AF$30&amp;"D"&amp;I31))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IF(V31=1,WorkSheet!$AF$30,CONCATENATE(WorkSheet!$AF$30&amp;"D"&amp;V31))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IF(樣品清單!AQ$13="","--",樣品清單!AQ$13)</f>
        <v>--</v>
      </c>
      <c r="C32" s="553"/>
      <c r="D32" s="554" t="str">
        <f ca="1">IFERROR(IF(INDEX(測試方法!$A$1:$AZ$98,MATCH(sample11!$D$5,測試方法!$A$1:$A$98,0),MATCH(sample11!B32,測試方法!$A$2:$AZ$2,0))&lt;&gt;"",INDEX(測試方法!$A$1:$AZ$98,MATCH(sample11!$D$5,測試方法!$A$1:$A$98,0),MATCH(sample11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IF(I32=1,WorkSheet!$AF$30,CONCATENATE(WorkSheet!$AF$30&amp;"D"&amp;I32))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IF(V32=1,WorkSheet!$AF$30,CONCATENATE(WorkSheet!$AF$30&amp;"D"&amp;V32))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IF(樣品清單!AR$13="","--",樣品清單!AR$13)</f>
        <v>--</v>
      </c>
      <c r="C33" s="553"/>
      <c r="D33" s="554" t="str">
        <f ca="1">IFERROR(IF(INDEX(測試方法!$A$1:$AZ$98,MATCH(sample11!$D$5,測試方法!$A$1:$A$98,0),MATCH(sample11!B33,測試方法!$A$2:$AZ$2,0))&lt;&gt;"",INDEX(測試方法!$A$1:$AZ$98,MATCH(sample11!$D$5,測試方法!$A$1:$A$98,0),MATCH(sample11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IF(I33=1,WorkSheet!$AF$30,CONCATENATE(WorkSheet!$AF$30&amp;"D"&amp;I33))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IF(V33=1,WorkSheet!$AF$30,CONCATENATE(WorkSheet!$AF$30&amp;"D"&amp;V33))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IF(樣品清單!AS$13="","--",樣品清單!AS$13)</f>
        <v>--</v>
      </c>
      <c r="C34" s="553"/>
      <c r="D34" s="554" t="str">
        <f ca="1">IFERROR(IF(INDEX(測試方法!$A$1:$AZ$98,MATCH(sample11!$D$5,測試方法!$A$1:$A$98,0),MATCH(sample11!B34,測試方法!$A$2:$AZ$2,0))&lt;&gt;"",INDEX(測試方法!$A$1:$AZ$98,MATCH(sample11!$D$5,測試方法!$A$1:$A$98,0),MATCH(sample11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IF(I34=1,WorkSheet!$AF$30,CONCATENATE(WorkSheet!$AF$30&amp;"D"&amp;I34))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IF(V34=1,WorkSheet!$AF$30,CONCATENATE(WorkSheet!$AF$30&amp;"D"&amp;V34))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IF(樣品清單!AT$13="","--",樣品清單!AT$13)</f>
        <v>--</v>
      </c>
      <c r="C35" s="553"/>
      <c r="D35" s="554" t="str">
        <f ca="1">IFERROR(IF(INDEX(測試方法!$A$1:$AZ$98,MATCH(sample11!$D$5,測試方法!$A$1:$A$98,0),MATCH(sample11!B35,測試方法!$A$2:$AZ$2,0))&lt;&gt;"",INDEX(測試方法!$A$1:$AZ$98,MATCH(sample11!$D$5,測試方法!$A$1:$A$98,0),MATCH(sample11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IF(I35=1,WorkSheet!$AF$30,CONCATENATE(WorkSheet!$AF$30&amp;"D"&amp;I35))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IF(V35=1,WorkSheet!$AF$30,CONCATENATE(WorkSheet!$AF$30&amp;"D"&amp;V35))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IF(樣品清單!AU$13="","--",樣品清單!AU$13)</f>
        <v>--</v>
      </c>
      <c r="C36" s="541"/>
      <c r="D36" s="542" t="str">
        <f ca="1">IFERROR(IF(INDEX(測試方法!$A$1:$AZ$98,MATCH(sample11!$D$5,測試方法!$A$1:$A$98,0),MATCH(sample11!B36,測試方法!$A$2:$AZ$2,0))&lt;&gt;"",INDEX(測試方法!$A$1:$AZ$98,MATCH(sample11!$D$5,測試方法!$A$1:$A$98,0),MATCH(sample11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IF(I36=1,WorkSheet!$AF$30,CONCATENATE(WorkSheet!$AF$30&amp;"D"&amp;I36))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IF(V36=1,WorkSheet!$AF$30,CONCATENATE(WorkSheet!$AF$30&amp;"D"&amp;V36))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I40" s="30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10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1000-000001000000}">
      <formula1>$AG$4:$AG$5</formula1>
    </dataValidation>
    <dataValidation type="list" allowBlank="1" showInputMessage="1" showErrorMessage="1" sqref="U44" xr:uid="{00000000-0002-0000-1000-000002000000}">
      <formula1>$AF$4:$AF$5</formula1>
    </dataValidation>
  </dataValidations>
  <hyperlinks>
    <hyperlink ref="AF1" location="WorkSheet!A1" display="批次表" xr:uid="{00000000-0004-0000-1000-000000000000}"/>
    <hyperlink ref="AF2" location="樣品清單!A1" display="樣品清單" xr:uid="{00000000-0004-0000-10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WorkSheet!C31&amp;WorkSheet!G31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IFERROR(INDEX(samplename,MATCH(WorkSheet!C31,Job_No,0)),"--")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IF(樣品清單!AD$14="","--",樣品清單!AD$14)</f>
        <v>--</v>
      </c>
      <c r="C19" s="651"/>
      <c r="D19" s="575" t="str">
        <f ca="1">IFERROR(IF(INDEX(測試方法!$A$1:$AZ$98,MATCH(sample12!$D$5,測試方法!$A$1:$A$98,0),MATCH(sample12!B19,測試方法!$A$2:$AZ$2,0))&lt;&gt;"",INDEX(測試方法!$A$1:$AZ$98,MATCH(sample12!$D$5,測試方法!$A$1:$A$98,0),MATCH(sample12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IF(I19=1,WorkSheet!$AF$31,CONCATENATE(WorkSheet!$AF$31&amp;"D"&amp;I19))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IF(V19=1,WorkSheet!$AF$31,CONCATENATE(WorkSheet!$AF$31&amp;"D"&amp;V19))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IF(樣品清單!AE$14="","--",樣品清單!AE$14)</f>
        <v>--</v>
      </c>
      <c r="C20" s="648"/>
      <c r="D20" s="554" t="str">
        <f ca="1">IFERROR(IF(INDEX(測試方法!$A$1:$AZ$98,MATCH(sample12!$D$5,測試方法!$A$1:$A$98,0),MATCH(sample12!B20,測試方法!$A$2:$AZ$2,0))&lt;&gt;"",INDEX(測試方法!$A$1:$AZ$98,MATCH(sample12!$D$5,測試方法!$A$1:$A$98,0),MATCH(sample12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IF(I20=1,WorkSheet!$AF$31,CONCATENATE(WorkSheet!$AF$31&amp;"D"&amp;I20))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IF(V20=1,WorkSheet!$AF$31,CONCATENATE(WorkSheet!$AF$31&amp;"D"&amp;V20))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IF(樣品清單!AF$14="","--",樣品清單!AF$14)</f>
        <v>--</v>
      </c>
      <c r="C21" s="648"/>
      <c r="D21" s="554" t="str">
        <f ca="1">IFERROR(IF(INDEX(測試方法!$A$1:$AZ$98,MATCH(sample12!$D$5,測試方法!$A$1:$A$98,0),MATCH(sample12!B21,測試方法!$A$2:$AZ$2,0))&lt;&gt;"",INDEX(測試方法!$A$1:$AZ$98,MATCH(sample12!$D$5,測試方法!$A$1:$A$98,0),MATCH(sample12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IF(I21=1,WorkSheet!$AF$31,CONCATENATE(WorkSheet!$AF$31&amp;"D"&amp;I21))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IF(V21=1,WorkSheet!$AF$31,CONCATENATE(WorkSheet!$AF$31&amp;"D"&amp;V21))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IF(樣品清單!AG$14="","--",樣品清單!AG$14)</f>
        <v>--</v>
      </c>
      <c r="C22" s="648"/>
      <c r="D22" s="554" t="str">
        <f ca="1">IFERROR(IF(INDEX(測試方法!$A$1:$AZ$98,MATCH(sample12!$D$5,測試方法!$A$1:$A$98,0),MATCH(sample12!B22,測試方法!$A$2:$AZ$2,0))&lt;&gt;"",INDEX(測試方法!$A$1:$AZ$98,MATCH(sample12!$D$5,測試方法!$A$1:$A$98,0),MATCH(sample12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IF(I22=1,WorkSheet!$AF$31,CONCATENATE(WorkSheet!$AF$31&amp;"D"&amp;I22))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IF(V22=1,WorkSheet!$AF$31,CONCATENATE(WorkSheet!$AF$31&amp;"D"&amp;V22))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IF(樣品清單!AH$14="","--",樣品清單!AH$14)</f>
        <v>--</v>
      </c>
      <c r="C23" s="648"/>
      <c r="D23" s="554" t="str">
        <f ca="1">IFERROR(IF(INDEX(測試方法!$A$1:$AZ$98,MATCH(sample12!$D$5,測試方法!$A$1:$A$98,0),MATCH(sample12!B23,測試方法!$A$2:$AZ$2,0))&lt;&gt;"",INDEX(測試方法!$A$1:$AZ$98,MATCH(sample12!$D$5,測試方法!$A$1:$A$98,0),MATCH(sample12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IF(I23=1,WorkSheet!$AF$31,CONCATENATE(WorkSheet!$AF$31&amp;"D"&amp;I23))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IF(V23=1,WorkSheet!$AF$31,CONCATENATE(WorkSheet!$AF$31&amp;"D"&amp;V23))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IF(樣品清單!AI$14="","--",樣品清單!AI$14)</f>
        <v>--</v>
      </c>
      <c r="C24" s="648"/>
      <c r="D24" s="554" t="str">
        <f ca="1">IFERROR(IF(INDEX(測試方法!$A$1:$AZ$98,MATCH(sample12!$D$5,測試方法!$A$1:$A$98,0),MATCH(sample12!B24,測試方法!$A$2:$AZ$2,0))&lt;&gt;"",INDEX(測試方法!$A$1:$AZ$98,MATCH(sample12!$D$5,測試方法!$A$1:$A$98,0),MATCH(sample12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IF(I24=1,WorkSheet!$AF$31,CONCATENATE(WorkSheet!$AF$31&amp;"D"&amp;I24))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IF(V24=1,WorkSheet!$AF$31,CONCATENATE(WorkSheet!$AF$31&amp;"D"&amp;V24))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IF(樣品清單!AJ$14="","--",樣品清單!AJ$14)</f>
        <v>--</v>
      </c>
      <c r="C25" s="648"/>
      <c r="D25" s="554" t="str">
        <f ca="1">IFERROR(IF(INDEX(測試方法!$A$1:$AZ$98,MATCH(sample12!$D$5,測試方法!$A$1:$A$98,0),MATCH(sample12!B25,測試方法!$A$2:$AZ$2,0))&lt;&gt;"",INDEX(測試方法!$A$1:$AZ$98,MATCH(sample12!$D$5,測試方法!$A$1:$A$98,0),MATCH(sample12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IF(I25=1,WorkSheet!$AF$31,CONCATENATE(WorkSheet!$AF$31&amp;"D"&amp;I25))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IF(V25=1,WorkSheet!$AF$31,CONCATENATE(WorkSheet!$AF$31&amp;"D"&amp;V25))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IF(樣品清單!AK$14="","--",樣品清單!AK$14)</f>
        <v>--</v>
      </c>
      <c r="C26" s="648"/>
      <c r="D26" s="554" t="str">
        <f ca="1">IFERROR(IF(INDEX(測試方法!$A$1:$AZ$98,MATCH(sample12!$D$5,測試方法!$A$1:$A$98,0),MATCH(sample12!B26,測試方法!$A$2:$AZ$2,0))&lt;&gt;"",INDEX(測試方法!$A$1:$AZ$98,MATCH(sample12!$D$5,測試方法!$A$1:$A$98,0),MATCH(sample12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IF(I26=1,WorkSheet!$AF$31,CONCATENATE(WorkSheet!$AF$31&amp;"D"&amp;I26))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IF(V26=1,WorkSheet!$AF$31,CONCATENATE(WorkSheet!$AF$31&amp;"D"&amp;V26))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IF(樣品清單!AL$14="","--",樣品清單!AL$14)</f>
        <v>--</v>
      </c>
      <c r="C27" s="648"/>
      <c r="D27" s="554" t="str">
        <f ca="1">IFERROR(IF(INDEX(測試方法!$A$1:$AZ$98,MATCH(sample12!$D$5,測試方法!$A$1:$A$98,0),MATCH(sample12!B27,測試方法!$A$2:$AZ$2,0))&lt;&gt;"",INDEX(測試方法!$A$1:$AZ$98,MATCH(sample12!$D$5,測試方法!$A$1:$A$98,0),MATCH(sample12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IF(I27=1,WorkSheet!$AF$31,CONCATENATE(WorkSheet!$AF$31&amp;"D"&amp;I27))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IF(V27=1,WorkSheet!$AF$31,CONCATENATE(WorkSheet!$AF$31&amp;"D"&amp;V27))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IF(樣品清單!AM$14="","--",樣品清單!AM$14)</f>
        <v>--</v>
      </c>
      <c r="C28" s="648"/>
      <c r="D28" s="554" t="str">
        <f ca="1">IFERROR(IF(INDEX(測試方法!$A$1:$AZ$98,MATCH(sample12!$D$5,測試方法!$A$1:$A$98,0),MATCH(sample12!B28,測試方法!$A$2:$AZ$2,0))&lt;&gt;"",INDEX(測試方法!$A$1:$AZ$98,MATCH(sample12!$D$5,測試方法!$A$1:$A$98,0),MATCH(sample12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IF(I28=1,WorkSheet!$AF$31,CONCATENATE(WorkSheet!$AF$31&amp;"D"&amp;I28))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IF(V28=1,WorkSheet!$AF$31,CONCATENATE(WorkSheet!$AF$31&amp;"D"&amp;V28))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IF(樣品清單!AN$14="","--",樣品清單!AN$14)</f>
        <v>--</v>
      </c>
      <c r="C29" s="648"/>
      <c r="D29" s="554" t="str">
        <f ca="1">IFERROR(IF(INDEX(測試方法!$A$1:$AZ$98,MATCH(sample12!$D$5,測試方法!$A$1:$A$98,0),MATCH(sample12!B29,測試方法!$A$2:$AZ$2,0))&lt;&gt;"",INDEX(測試方法!$A$1:$AZ$98,MATCH(sample12!$D$5,測試方法!$A$1:$A$98,0),MATCH(sample12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IF(I29=1,WorkSheet!$AF$31,CONCATENATE(WorkSheet!$AF$31&amp;"D"&amp;I29))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IF(V29=1,WorkSheet!$AF$31,CONCATENATE(WorkSheet!$AF$31&amp;"D"&amp;V29))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IF(樣品清單!AO$14="","--",樣品清單!AO$14)</f>
        <v>--</v>
      </c>
      <c r="C30" s="648"/>
      <c r="D30" s="554" t="str">
        <f ca="1">IFERROR(IF(INDEX(測試方法!$A$1:$AZ$98,MATCH(sample12!$D$5,測試方法!$A$1:$A$98,0),MATCH(sample12!B30,測試方法!$A$2:$AZ$2,0))&lt;&gt;"",INDEX(測試方法!$A$1:$AZ$98,MATCH(sample12!$D$5,測試方法!$A$1:$A$98,0),MATCH(sample12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IF(I30=1,WorkSheet!$AF$31,CONCATENATE(WorkSheet!$AF$31&amp;"D"&amp;I30))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IF(V30=1,WorkSheet!$AF$31,CONCATENATE(WorkSheet!$AF$31&amp;"D"&amp;V30))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IF(樣品清單!AP$14="","--",樣品清單!AP$14)</f>
        <v>--</v>
      </c>
      <c r="C31" s="648"/>
      <c r="D31" s="554" t="str">
        <f ca="1">IFERROR(IF(INDEX(測試方法!$A$1:$AZ$98,MATCH(sample12!$D$5,測試方法!$A$1:$A$98,0),MATCH(sample12!B31,測試方法!$A$2:$AZ$2,0))&lt;&gt;"",INDEX(測試方法!$A$1:$AZ$98,MATCH(sample12!$D$5,測試方法!$A$1:$A$98,0),MATCH(sample12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IF(I31=1,WorkSheet!$AF$31,CONCATENATE(WorkSheet!$AF$31&amp;"D"&amp;I31))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IF(V31=1,WorkSheet!$AF$31,CONCATENATE(WorkSheet!$AF$31&amp;"D"&amp;V31))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IF(樣品清單!AQ$14="","--",樣品清單!AQ$14)</f>
        <v>--</v>
      </c>
      <c r="C32" s="648"/>
      <c r="D32" s="554" t="str">
        <f ca="1">IFERROR(IF(INDEX(測試方法!$A$1:$AZ$98,MATCH(sample12!$D$5,測試方法!$A$1:$A$98,0),MATCH(sample12!B32,測試方法!$A$2:$AZ$2,0))&lt;&gt;"",INDEX(測試方法!$A$1:$AZ$98,MATCH(sample12!$D$5,測試方法!$A$1:$A$98,0),MATCH(sample12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IF(I32=1,WorkSheet!$AF$31,CONCATENATE(WorkSheet!$AF$31&amp;"D"&amp;I32))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IF(V32=1,WorkSheet!$AF$31,CONCATENATE(WorkSheet!$AF$31&amp;"D"&amp;V32))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IF(樣品清單!AR$14="","--",樣品清單!AR$14)</f>
        <v>--</v>
      </c>
      <c r="C33" s="648"/>
      <c r="D33" s="554" t="str">
        <f ca="1">IFERROR(IF(INDEX(測試方法!$A$1:$AZ$98,MATCH(sample12!$D$5,測試方法!$A$1:$A$98,0),MATCH(sample12!B33,測試方法!$A$2:$AZ$2,0))&lt;&gt;"",INDEX(測試方法!$A$1:$AZ$98,MATCH(sample12!$D$5,測試方法!$A$1:$A$98,0),MATCH(sample12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IF(I33=1,WorkSheet!$AF$31,CONCATENATE(WorkSheet!$AF$31&amp;"D"&amp;I33))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IF(V33=1,WorkSheet!$AF$31,CONCATENATE(WorkSheet!$AF$31&amp;"D"&amp;V33))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IF(樣品清單!AS$14="","--",樣品清單!AS$14)</f>
        <v>--</v>
      </c>
      <c r="C34" s="648"/>
      <c r="D34" s="554" t="str">
        <f ca="1">IFERROR(IF(INDEX(測試方法!$A$1:$AZ$98,MATCH(sample12!$D$5,測試方法!$A$1:$A$98,0),MATCH(sample12!B34,測試方法!$A$2:$AZ$2,0))&lt;&gt;"",INDEX(測試方法!$A$1:$AZ$98,MATCH(sample12!$D$5,測試方法!$A$1:$A$98,0),MATCH(sample12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IF(I34=1,WorkSheet!$AF$31,CONCATENATE(WorkSheet!$AF$31&amp;"D"&amp;I34))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IF(V34=1,WorkSheet!$AF$31,CONCATENATE(WorkSheet!$AF$31&amp;"D"&amp;V34))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IF(樣品清單!AT$14="","--",樣品清單!AT$14)</f>
        <v>--</v>
      </c>
      <c r="C35" s="648"/>
      <c r="D35" s="554" t="str">
        <f ca="1">IFERROR(IF(INDEX(測試方法!$A$1:$AZ$98,MATCH(sample12!$D$5,測試方法!$A$1:$A$98,0),MATCH(sample12!B35,測試方法!$A$2:$AZ$2,0))&lt;&gt;"",INDEX(測試方法!$A$1:$AZ$98,MATCH(sample12!$D$5,測試方法!$A$1:$A$98,0),MATCH(sample12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IF(I35=1,WorkSheet!$AF$31,CONCATENATE(WorkSheet!$AF$31&amp;"D"&amp;I35))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IF(V35=1,WorkSheet!$AF$31,CONCATENATE(WorkSheet!$AF$31&amp;"D"&amp;V35))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IF(樣品清單!AU$14="","--",樣品清單!AU$14)</f>
        <v>--</v>
      </c>
      <c r="C36" s="646"/>
      <c r="D36" s="542" t="str">
        <f ca="1">IFERROR(IF(INDEX(測試方法!$A$1:$AZ$98,MATCH(sample12!$D$5,測試方法!$A$1:$A$98,0),MATCH(sample12!B36,測試方法!$A$2:$AZ$2,0))&lt;&gt;"",INDEX(測試方法!$A$1:$AZ$98,MATCH(sample12!$D$5,測試方法!$A$1:$A$98,0),MATCH(sample12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IF(I36=1,WorkSheet!$AF$31,CONCATENATE(WorkSheet!$AF$31&amp;"D"&amp;I36))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IF(V36=1,WorkSheet!$AF$31,CONCATENATE(WorkSheet!$AF$31&amp;"D"&amp;V36))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1100-000000000000}">
      <formula1>$AG$4:$AG$5</formula1>
    </dataValidation>
    <dataValidation type="list" allowBlank="1" showInputMessage="1" showErrorMessage="1" sqref="L12" xr:uid="{00000000-0002-0000-1100-000001000000}">
      <formula1>$AG$4:$AG$7</formula1>
    </dataValidation>
    <dataValidation type="list" allowBlank="1" showInputMessage="1" showErrorMessage="1" sqref="U44" xr:uid="{00000000-0002-0000-1100-000002000000}">
      <formula1>$AF$4:$AF$5</formula1>
    </dataValidation>
  </dataValidations>
  <hyperlinks>
    <hyperlink ref="AF1" location="WorkSheet!A1" display="批次表" xr:uid="{00000000-0004-0000-1100-000000000000}"/>
    <hyperlink ref="AF2" location="樣品清單!A1" display="樣品清單" xr:uid="{00000000-0004-0000-11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WorkSheet!C32&amp;WorkSheet!G32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IFERROR(INDEX(samplename,MATCH(WorkSheet!C32,Job_No,0)),"--")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IF(樣品清單!AD$15="","--",樣品清單!AD$15)</f>
        <v>--</v>
      </c>
      <c r="C19" s="651"/>
      <c r="D19" s="575" t="str">
        <f ca="1">IFERROR(IF(INDEX(測試方法!$A$1:$AZ$98,MATCH(sample13!$D$5,測試方法!$A$1:$A$98,0),MATCH(sample13!B19,測試方法!$A$2:$AZ$2,0))&lt;&gt;"",INDEX(測試方法!$A$1:$AZ$98,MATCH(sample13!$D$5,測試方法!$A$1:$A$98,0),MATCH(sample13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IF(I19=1,WorkSheet!$AF$32,CONCATENATE(WorkSheet!$AF$32&amp;"D"&amp;I19))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IF(V19=1,WorkSheet!$AF$32,CONCATENATE(WorkSheet!$AF$32&amp;"D"&amp;V19))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IF(樣品清單!AE$15="","--",樣品清單!AE$15)</f>
        <v>--</v>
      </c>
      <c r="C20" s="648"/>
      <c r="D20" s="554" t="str">
        <f ca="1">IFERROR(IF(INDEX(測試方法!$A$1:$AZ$98,MATCH(sample13!$D$5,測試方法!$A$1:$A$98,0),MATCH(sample13!B20,測試方法!$A$2:$AZ$2,0))&lt;&gt;"",INDEX(測試方法!$A$1:$AZ$98,MATCH(sample13!$D$5,測試方法!$A$1:$A$98,0),MATCH(sample13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IF(I20=1,WorkSheet!$AF$32,CONCATENATE(WorkSheet!$AF$32&amp;"D"&amp;I20))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IF(V20=1,WorkSheet!$AF$32,CONCATENATE(WorkSheet!$AF$32&amp;"D"&amp;V20))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IF(樣品清單!AF$15="","--",樣品清單!AF$15)</f>
        <v>--</v>
      </c>
      <c r="C21" s="648"/>
      <c r="D21" s="554" t="str">
        <f ca="1">IFERROR(IF(INDEX(測試方法!$A$1:$AZ$98,MATCH(sample13!$D$5,測試方法!$A$1:$A$98,0),MATCH(sample13!B21,測試方法!$A$2:$AZ$2,0))&lt;&gt;"",INDEX(測試方法!$A$1:$AZ$98,MATCH(sample13!$D$5,測試方法!$A$1:$A$98,0),MATCH(sample13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IF(I21=1,WorkSheet!$AF$32,CONCATENATE(WorkSheet!$AF$32&amp;"D"&amp;I21))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IF(V21=1,WorkSheet!$AF$32,CONCATENATE(WorkSheet!$AF$32&amp;"D"&amp;V21))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IF(樣品清單!AG$15="","--",樣品清單!AG$15)</f>
        <v>--</v>
      </c>
      <c r="C22" s="648"/>
      <c r="D22" s="554" t="str">
        <f ca="1">IFERROR(IF(INDEX(測試方法!$A$1:$AZ$98,MATCH(sample13!$D$5,測試方法!$A$1:$A$98,0),MATCH(sample13!B22,測試方法!$A$2:$AZ$2,0))&lt;&gt;"",INDEX(測試方法!$A$1:$AZ$98,MATCH(sample13!$D$5,測試方法!$A$1:$A$98,0),MATCH(sample13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IF(I22=1,WorkSheet!$AF$32,CONCATENATE(WorkSheet!$AF$32&amp;"D"&amp;I22))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IF(V22=1,WorkSheet!$AF$32,CONCATENATE(WorkSheet!$AF$32&amp;"D"&amp;V22))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IF(樣品清單!AH$15="","--",樣品清單!AH$15)</f>
        <v>--</v>
      </c>
      <c r="C23" s="648"/>
      <c r="D23" s="554" t="str">
        <f ca="1">IFERROR(IF(INDEX(測試方法!$A$1:$AZ$98,MATCH(sample13!$D$5,測試方法!$A$1:$A$98,0),MATCH(sample13!B23,測試方法!$A$2:$AZ$2,0))&lt;&gt;"",INDEX(測試方法!$A$1:$AZ$98,MATCH(sample13!$D$5,測試方法!$A$1:$A$98,0),MATCH(sample13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IF(I23=1,WorkSheet!$AF$32,CONCATENATE(WorkSheet!$AF$32&amp;"D"&amp;I23))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IF(V23=1,WorkSheet!$AF$32,CONCATENATE(WorkSheet!$AF$32&amp;"D"&amp;V23))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IF(樣品清單!AI$15="","--",樣品清單!AI$15)</f>
        <v>--</v>
      </c>
      <c r="C24" s="648"/>
      <c r="D24" s="554" t="str">
        <f ca="1">IFERROR(IF(INDEX(測試方法!$A$1:$AZ$98,MATCH(sample13!$D$5,測試方法!$A$1:$A$98,0),MATCH(sample13!B24,測試方法!$A$2:$AZ$2,0))&lt;&gt;"",INDEX(測試方法!$A$1:$AZ$98,MATCH(sample13!$D$5,測試方法!$A$1:$A$98,0),MATCH(sample13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IF(I24=1,WorkSheet!$AF$32,CONCATENATE(WorkSheet!$AF$32&amp;"D"&amp;I24))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IF(V24=1,WorkSheet!$AF$32,CONCATENATE(WorkSheet!$AF$32&amp;"D"&amp;V24))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IF(樣品清單!AJ$15="","--",樣品清單!AJ$15)</f>
        <v>--</v>
      </c>
      <c r="C25" s="648"/>
      <c r="D25" s="554" t="str">
        <f ca="1">IFERROR(IF(INDEX(測試方法!$A$1:$AZ$98,MATCH(sample13!$D$5,測試方法!$A$1:$A$98,0),MATCH(sample13!B25,測試方法!$A$2:$AZ$2,0))&lt;&gt;"",INDEX(測試方法!$A$1:$AZ$98,MATCH(sample13!$D$5,測試方法!$A$1:$A$98,0),MATCH(sample13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IF(I25=1,WorkSheet!$AF$32,CONCATENATE(WorkSheet!$AF$32&amp;"D"&amp;I25))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IF(V25=1,WorkSheet!$AF$32,CONCATENATE(WorkSheet!$AF$32&amp;"D"&amp;V25))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IF(樣品清單!AK$15="","--",樣品清單!AK$15)</f>
        <v>--</v>
      </c>
      <c r="C26" s="648"/>
      <c r="D26" s="554" t="str">
        <f ca="1">IFERROR(IF(INDEX(測試方法!$A$1:$AZ$98,MATCH(sample13!$D$5,測試方法!$A$1:$A$98,0),MATCH(sample13!B26,測試方法!$A$2:$AZ$2,0))&lt;&gt;"",INDEX(測試方法!$A$1:$AZ$98,MATCH(sample13!$D$5,測試方法!$A$1:$A$98,0),MATCH(sample13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IF(I26=1,WorkSheet!$AF$32,CONCATENATE(WorkSheet!$AF$32&amp;"D"&amp;I26))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IF(V26=1,WorkSheet!$AF$32,CONCATENATE(WorkSheet!$AF$32&amp;"D"&amp;V26))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IF(樣品清單!AL$15="","--",樣品清單!AL$15)</f>
        <v>--</v>
      </c>
      <c r="C27" s="648"/>
      <c r="D27" s="554" t="str">
        <f ca="1">IFERROR(IF(INDEX(測試方法!$A$1:$AZ$98,MATCH(sample13!$D$5,測試方法!$A$1:$A$98,0),MATCH(sample13!B27,測試方法!$A$2:$AZ$2,0))&lt;&gt;"",INDEX(測試方法!$A$1:$AZ$98,MATCH(sample13!$D$5,測試方法!$A$1:$A$98,0),MATCH(sample13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IF(I27=1,WorkSheet!$AF$32,CONCATENATE(WorkSheet!$AF$32&amp;"D"&amp;I27))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IF(V27=1,WorkSheet!$AF$32,CONCATENATE(WorkSheet!$AF$32&amp;"D"&amp;V27))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IF(樣品清單!AM$15="","--",樣品清單!AM$15)</f>
        <v>--</v>
      </c>
      <c r="C28" s="648"/>
      <c r="D28" s="554" t="str">
        <f ca="1">IFERROR(IF(INDEX(測試方法!$A$1:$AZ$98,MATCH(sample13!$D$5,測試方法!$A$1:$A$98,0),MATCH(sample13!B28,測試方法!$A$2:$AZ$2,0))&lt;&gt;"",INDEX(測試方法!$A$1:$AZ$98,MATCH(sample13!$D$5,測試方法!$A$1:$A$98,0),MATCH(sample13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IF(I28=1,WorkSheet!$AF$32,CONCATENATE(WorkSheet!$AF$32&amp;"D"&amp;I28))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IF(V28=1,WorkSheet!$AF$32,CONCATENATE(WorkSheet!$AF$32&amp;"D"&amp;V28))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IF(樣品清單!AN$15="","--",樣品清單!AN$15)</f>
        <v>--</v>
      </c>
      <c r="C29" s="648"/>
      <c r="D29" s="554" t="str">
        <f ca="1">IFERROR(IF(INDEX(測試方法!$A$1:$AZ$98,MATCH(sample13!$D$5,測試方法!$A$1:$A$98,0),MATCH(sample13!B29,測試方法!$A$2:$AZ$2,0))&lt;&gt;"",INDEX(測試方法!$A$1:$AZ$98,MATCH(sample13!$D$5,測試方法!$A$1:$A$98,0),MATCH(sample13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IF(I29=1,WorkSheet!$AF$32,CONCATENATE(WorkSheet!$AF$32&amp;"D"&amp;I29))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IF(V29=1,WorkSheet!$AF$32,CONCATENATE(WorkSheet!$AF$32&amp;"D"&amp;V29))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IF(樣品清單!AO$15="","--",樣品清單!AO$15)</f>
        <v>--</v>
      </c>
      <c r="C30" s="648"/>
      <c r="D30" s="554" t="str">
        <f ca="1">IFERROR(IF(INDEX(測試方法!$A$1:$AZ$98,MATCH(sample13!$D$5,測試方法!$A$1:$A$98,0),MATCH(sample13!B30,測試方法!$A$2:$AZ$2,0))&lt;&gt;"",INDEX(測試方法!$A$1:$AZ$98,MATCH(sample13!$D$5,測試方法!$A$1:$A$98,0),MATCH(sample13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IF(I30=1,WorkSheet!$AF$32,CONCATENATE(WorkSheet!$AF$32&amp;"D"&amp;I30))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IF(V30=1,WorkSheet!$AF$32,CONCATENATE(WorkSheet!$AF$32&amp;"D"&amp;V30))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IF(樣品清單!AP$15="","--",樣品清單!AP$15)</f>
        <v>--</v>
      </c>
      <c r="C31" s="648"/>
      <c r="D31" s="554" t="str">
        <f ca="1">IFERROR(IF(INDEX(測試方法!$A$1:$AZ$98,MATCH(sample13!$D$5,測試方法!$A$1:$A$98,0),MATCH(sample13!B31,測試方法!$A$2:$AZ$2,0))&lt;&gt;"",INDEX(測試方法!$A$1:$AZ$98,MATCH(sample13!$D$5,測試方法!$A$1:$A$98,0),MATCH(sample13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IF(I31=1,WorkSheet!$AF$32,CONCATENATE(WorkSheet!$AF$32&amp;"D"&amp;I31))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IF(V31=1,WorkSheet!$AF$32,CONCATENATE(WorkSheet!$AF$32&amp;"D"&amp;V31))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IF(樣品清單!AQ$15="","--",樣品清單!AQ$15)</f>
        <v>--</v>
      </c>
      <c r="C32" s="648"/>
      <c r="D32" s="554" t="str">
        <f ca="1">IFERROR(IF(INDEX(測試方法!$A$1:$AZ$98,MATCH(sample13!$D$5,測試方法!$A$1:$A$98,0),MATCH(sample13!B32,測試方法!$A$2:$AZ$2,0))&lt;&gt;"",INDEX(測試方法!$A$1:$AZ$98,MATCH(sample13!$D$5,測試方法!$A$1:$A$98,0),MATCH(sample13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IF(I32=1,WorkSheet!$AF$32,CONCATENATE(WorkSheet!$AF$32&amp;"D"&amp;I32))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IF(V32=1,WorkSheet!$AF$32,CONCATENATE(WorkSheet!$AF$32&amp;"D"&amp;V32))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IF(樣品清單!AR$15="","--",樣品清單!AR$15)</f>
        <v>--</v>
      </c>
      <c r="C33" s="648"/>
      <c r="D33" s="554" t="str">
        <f ca="1">IFERROR(IF(INDEX(測試方法!$A$1:$AZ$98,MATCH(sample13!$D$5,測試方法!$A$1:$A$98,0),MATCH(sample13!B33,測試方法!$A$2:$AZ$2,0))&lt;&gt;"",INDEX(測試方法!$A$1:$AZ$98,MATCH(sample13!$D$5,測試方法!$A$1:$A$98,0),MATCH(sample13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IF(I33=1,WorkSheet!$AF$32,CONCATENATE(WorkSheet!$AF$32&amp;"D"&amp;I33))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IF(V33=1,WorkSheet!$AF$32,CONCATENATE(WorkSheet!$AF$32&amp;"D"&amp;V33))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IF(樣品清單!AS$15="","--",樣品清單!AS$15)</f>
        <v>--</v>
      </c>
      <c r="C34" s="648"/>
      <c r="D34" s="554" t="str">
        <f ca="1">IFERROR(IF(INDEX(測試方法!$A$1:$AZ$98,MATCH(sample13!$D$5,測試方法!$A$1:$A$98,0),MATCH(sample13!B34,測試方法!$A$2:$AZ$2,0))&lt;&gt;"",INDEX(測試方法!$A$1:$AZ$98,MATCH(sample13!$D$5,測試方法!$A$1:$A$98,0),MATCH(sample13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IF(I34=1,WorkSheet!$AF$32,CONCATENATE(WorkSheet!$AF$32&amp;"D"&amp;I34))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IF(V34=1,WorkSheet!$AF$32,CONCATENATE(WorkSheet!$AF$32&amp;"D"&amp;V34))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IF(樣品清單!AT$15="","--",樣品清單!AT$15)</f>
        <v>--</v>
      </c>
      <c r="C35" s="648"/>
      <c r="D35" s="554" t="str">
        <f ca="1">IFERROR(IF(INDEX(測試方法!$A$1:$AZ$98,MATCH(sample13!$D$5,測試方法!$A$1:$A$98,0),MATCH(sample13!B35,測試方法!$A$2:$AZ$2,0))&lt;&gt;"",INDEX(測試方法!$A$1:$AZ$98,MATCH(sample13!$D$5,測試方法!$A$1:$A$98,0),MATCH(sample13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IF(I35=1,WorkSheet!$AF$32,CONCATENATE(WorkSheet!$AF$32&amp;"D"&amp;I35))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IF(V35=1,WorkSheet!$AF$32,CONCATENATE(WorkSheet!$AF$32&amp;"D"&amp;V35))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IF(樣品清單!AU$15="","--",樣品清單!AU$15)</f>
        <v>--</v>
      </c>
      <c r="C36" s="646"/>
      <c r="D36" s="542" t="str">
        <f ca="1">IFERROR(IF(INDEX(測試方法!$A$1:$AZ$98,MATCH(sample13!$D$5,測試方法!$A$1:$A$98,0),MATCH(sample13!B36,測試方法!$A$2:$AZ$2,0))&lt;&gt;"",INDEX(測試方法!$A$1:$AZ$98,MATCH(sample13!$D$5,測試方法!$A$1:$A$98,0),MATCH(sample13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IF(I36=1,WorkSheet!$AF$32,CONCATENATE(WorkSheet!$AF$32&amp;"D"&amp;I36))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IF(V36=1,WorkSheet!$AF$32,CONCATENATE(WorkSheet!$AF$32&amp;"D"&amp;V36))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AG16:AJ16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8:D8"/>
    <mergeCell ref="W8:AD8"/>
    <mergeCell ref="AI8:AS8"/>
    <mergeCell ref="A5:C5"/>
    <mergeCell ref="D5:AE5"/>
    <mergeCell ref="A6:C6"/>
    <mergeCell ref="D6:AE6"/>
    <mergeCell ref="AI6:AS6"/>
    <mergeCell ref="B10:C10"/>
    <mergeCell ref="D10:E10"/>
    <mergeCell ref="H10:J10"/>
    <mergeCell ref="K10:L10"/>
    <mergeCell ref="O10:Q10"/>
    <mergeCell ref="M12:AD12"/>
    <mergeCell ref="R10:V10"/>
    <mergeCell ref="W10:AB10"/>
    <mergeCell ref="B9:C9"/>
    <mergeCell ref="D9:E9"/>
    <mergeCell ref="H9:J9"/>
    <mergeCell ref="K9:L9"/>
    <mergeCell ref="O9:P9"/>
    <mergeCell ref="Q9:R9"/>
    <mergeCell ref="AC10:AD10"/>
    <mergeCell ref="AI10:AS10"/>
    <mergeCell ref="W11:AB11"/>
    <mergeCell ref="AC11:AD11"/>
    <mergeCell ref="AI11:AS11"/>
    <mergeCell ref="AI4:AS4"/>
    <mergeCell ref="W9:AB9"/>
    <mergeCell ref="AC9:AD9"/>
    <mergeCell ref="AI3:AS3"/>
    <mergeCell ref="AI9:AS9"/>
    <mergeCell ref="AI5:AT5"/>
    <mergeCell ref="AB16:AE16"/>
    <mergeCell ref="F17:H17"/>
    <mergeCell ref="K17:N17"/>
    <mergeCell ref="O17:R17"/>
    <mergeCell ref="S17:U17"/>
    <mergeCell ref="X17:AA17"/>
    <mergeCell ref="AB17:AE17"/>
    <mergeCell ref="F16:H16"/>
    <mergeCell ref="I16:J17"/>
    <mergeCell ref="K16:N16"/>
    <mergeCell ref="O16:R16"/>
    <mergeCell ref="I19:J19"/>
    <mergeCell ref="K19:N19"/>
    <mergeCell ref="O19:R19"/>
    <mergeCell ref="A16:C18"/>
    <mergeCell ref="AO19:AR19"/>
    <mergeCell ref="AS19:AV19"/>
    <mergeCell ref="AG17:AV17"/>
    <mergeCell ref="D18:E18"/>
    <mergeCell ref="F18:H18"/>
    <mergeCell ref="I18:J18"/>
    <mergeCell ref="K18:N18"/>
    <mergeCell ref="O18:R18"/>
    <mergeCell ref="S18:U18"/>
    <mergeCell ref="V18:W18"/>
    <mergeCell ref="X18:AA18"/>
    <mergeCell ref="AB18:AE18"/>
    <mergeCell ref="D16:E17"/>
    <mergeCell ref="AG18:AJ18"/>
    <mergeCell ref="AK18:AN18"/>
    <mergeCell ref="AO18:AR18"/>
    <mergeCell ref="AS18:AV18"/>
    <mergeCell ref="S16:U16"/>
    <mergeCell ref="V16:W17"/>
    <mergeCell ref="X16:AA16"/>
    <mergeCell ref="BQ19:BT20"/>
    <mergeCell ref="B20:C20"/>
    <mergeCell ref="D20:E20"/>
    <mergeCell ref="F20:H20"/>
    <mergeCell ref="I20:J20"/>
    <mergeCell ref="K20:N20"/>
    <mergeCell ref="O20:R20"/>
    <mergeCell ref="S20:U20"/>
    <mergeCell ref="S19:U19"/>
    <mergeCell ref="V19:W19"/>
    <mergeCell ref="X19:AA19"/>
    <mergeCell ref="AB19:AE19"/>
    <mergeCell ref="AG19:AJ19"/>
    <mergeCell ref="AK19:AN19"/>
    <mergeCell ref="AS20:AV20"/>
    <mergeCell ref="V20:W20"/>
    <mergeCell ref="X20:AA20"/>
    <mergeCell ref="AB20:AE20"/>
    <mergeCell ref="AG20:AJ20"/>
    <mergeCell ref="AK20:AN20"/>
    <mergeCell ref="AO20:AR20"/>
    <mergeCell ref="B19:C19"/>
    <mergeCell ref="D19:E19"/>
    <mergeCell ref="F19:H19"/>
    <mergeCell ref="AO21:AR21"/>
    <mergeCell ref="AS21:AV21"/>
    <mergeCell ref="B22:C22"/>
    <mergeCell ref="D22:E22"/>
    <mergeCell ref="F22:H22"/>
    <mergeCell ref="I22:J22"/>
    <mergeCell ref="K22:N22"/>
    <mergeCell ref="AK22:AN22"/>
    <mergeCell ref="AO22:AR22"/>
    <mergeCell ref="AS22:AV22"/>
    <mergeCell ref="V22:W22"/>
    <mergeCell ref="X22:AA22"/>
    <mergeCell ref="AB22:AE22"/>
    <mergeCell ref="AG22:AJ22"/>
    <mergeCell ref="B21:C21"/>
    <mergeCell ref="D21:E21"/>
    <mergeCell ref="F21:H21"/>
    <mergeCell ref="I21:J21"/>
    <mergeCell ref="K21:N21"/>
    <mergeCell ref="O21:R21"/>
    <mergeCell ref="S21:U21"/>
    <mergeCell ref="V21:W21"/>
    <mergeCell ref="X21:AA21"/>
    <mergeCell ref="I23:J23"/>
    <mergeCell ref="K23:N23"/>
    <mergeCell ref="O23:R23"/>
    <mergeCell ref="S23:U23"/>
    <mergeCell ref="O22:R22"/>
    <mergeCell ref="S22:U22"/>
    <mergeCell ref="AB21:AE21"/>
    <mergeCell ref="AG21:AJ21"/>
    <mergeCell ref="AK21:AN21"/>
    <mergeCell ref="AS23:AV23"/>
    <mergeCell ref="B24:C24"/>
    <mergeCell ref="D24:E24"/>
    <mergeCell ref="F24:H24"/>
    <mergeCell ref="I24:J24"/>
    <mergeCell ref="K24:N24"/>
    <mergeCell ref="O24:R24"/>
    <mergeCell ref="S24:U24"/>
    <mergeCell ref="V24:W24"/>
    <mergeCell ref="X24:AA24"/>
    <mergeCell ref="V23:W23"/>
    <mergeCell ref="X23:AA23"/>
    <mergeCell ref="AB23:AE23"/>
    <mergeCell ref="AG23:AJ23"/>
    <mergeCell ref="AK23:AN23"/>
    <mergeCell ref="AO23:AR23"/>
    <mergeCell ref="AB24:AE24"/>
    <mergeCell ref="AG24:AJ24"/>
    <mergeCell ref="AK24:AN24"/>
    <mergeCell ref="AO24:AR24"/>
    <mergeCell ref="AS24:AV24"/>
    <mergeCell ref="B23:C23"/>
    <mergeCell ref="D23:E23"/>
    <mergeCell ref="F23:H23"/>
    <mergeCell ref="B25:C25"/>
    <mergeCell ref="D25:E25"/>
    <mergeCell ref="F25:H25"/>
    <mergeCell ref="I25:J25"/>
    <mergeCell ref="K25:N25"/>
    <mergeCell ref="AK25:AN25"/>
    <mergeCell ref="AO25:AR25"/>
    <mergeCell ref="AS25:AV25"/>
    <mergeCell ref="B26:C26"/>
    <mergeCell ref="D26:E26"/>
    <mergeCell ref="F26:H26"/>
    <mergeCell ref="I26:J26"/>
    <mergeCell ref="K26:N26"/>
    <mergeCell ref="O26:R26"/>
    <mergeCell ref="S26:U26"/>
    <mergeCell ref="O25:R25"/>
    <mergeCell ref="S25:U25"/>
    <mergeCell ref="V25:W25"/>
    <mergeCell ref="X25:AA25"/>
    <mergeCell ref="AB25:AE25"/>
    <mergeCell ref="AG25:AJ25"/>
    <mergeCell ref="AS26:AV26"/>
    <mergeCell ref="V26:W26"/>
    <mergeCell ref="X26:AA26"/>
    <mergeCell ref="B27:C27"/>
    <mergeCell ref="D27:E27"/>
    <mergeCell ref="F27:H27"/>
    <mergeCell ref="I27:J27"/>
    <mergeCell ref="K27:N27"/>
    <mergeCell ref="O27:R27"/>
    <mergeCell ref="S27:U27"/>
    <mergeCell ref="V27:W27"/>
    <mergeCell ref="X27:AA27"/>
    <mergeCell ref="AB26:AE26"/>
    <mergeCell ref="AG26:AJ26"/>
    <mergeCell ref="AK26:AN26"/>
    <mergeCell ref="AO26:AR26"/>
    <mergeCell ref="AB27:AE27"/>
    <mergeCell ref="AG27:AJ27"/>
    <mergeCell ref="AK27:AN27"/>
    <mergeCell ref="AO27:AR27"/>
    <mergeCell ref="AS27:AV27"/>
    <mergeCell ref="B28:C28"/>
    <mergeCell ref="D28:E28"/>
    <mergeCell ref="F28:H28"/>
    <mergeCell ref="I28:J28"/>
    <mergeCell ref="K28:N28"/>
    <mergeCell ref="AK28:AN28"/>
    <mergeCell ref="AO28:AR28"/>
    <mergeCell ref="AS28:AV28"/>
    <mergeCell ref="B29:C29"/>
    <mergeCell ref="D29:E29"/>
    <mergeCell ref="F29:H29"/>
    <mergeCell ref="I29:J29"/>
    <mergeCell ref="K29:N29"/>
    <mergeCell ref="O29:R29"/>
    <mergeCell ref="S29:U29"/>
    <mergeCell ref="O28:R28"/>
    <mergeCell ref="S28:U28"/>
    <mergeCell ref="V28:W28"/>
    <mergeCell ref="X28:AA28"/>
    <mergeCell ref="AB28:AE28"/>
    <mergeCell ref="AG28:AJ28"/>
    <mergeCell ref="AS29:AV29"/>
    <mergeCell ref="V29:W29"/>
    <mergeCell ref="X29:AA29"/>
    <mergeCell ref="B30:C30"/>
    <mergeCell ref="D30:E30"/>
    <mergeCell ref="F30:H30"/>
    <mergeCell ref="I30:J30"/>
    <mergeCell ref="K30:N30"/>
    <mergeCell ref="O30:R30"/>
    <mergeCell ref="S30:U30"/>
    <mergeCell ref="V30:W30"/>
    <mergeCell ref="X30:AA30"/>
    <mergeCell ref="AB29:AE29"/>
    <mergeCell ref="AG29:AJ29"/>
    <mergeCell ref="AK29:AN29"/>
    <mergeCell ref="AO29:AR29"/>
    <mergeCell ref="AB30:AE30"/>
    <mergeCell ref="AG30:AJ30"/>
    <mergeCell ref="AK30:AN30"/>
    <mergeCell ref="AO30:AR30"/>
    <mergeCell ref="AS30:AV30"/>
    <mergeCell ref="B31:C31"/>
    <mergeCell ref="D31:E31"/>
    <mergeCell ref="F31:H31"/>
    <mergeCell ref="I31:J31"/>
    <mergeCell ref="K31:N31"/>
    <mergeCell ref="AK31:AN31"/>
    <mergeCell ref="AO31:AR31"/>
    <mergeCell ref="AS31:AV31"/>
    <mergeCell ref="B32:C32"/>
    <mergeCell ref="D32:E32"/>
    <mergeCell ref="F32:H32"/>
    <mergeCell ref="I32:J32"/>
    <mergeCell ref="K32:N32"/>
    <mergeCell ref="O32:R32"/>
    <mergeCell ref="S32:U32"/>
    <mergeCell ref="O31:R31"/>
    <mergeCell ref="S31:U31"/>
    <mergeCell ref="V31:W31"/>
    <mergeCell ref="X31:AA31"/>
    <mergeCell ref="AB31:AE31"/>
    <mergeCell ref="AG31:AJ31"/>
    <mergeCell ref="AS32:AV32"/>
    <mergeCell ref="V32:W32"/>
    <mergeCell ref="X32:AA32"/>
    <mergeCell ref="B33:C33"/>
    <mergeCell ref="D33:E33"/>
    <mergeCell ref="F33:H33"/>
    <mergeCell ref="I33:J33"/>
    <mergeCell ref="K33:N33"/>
    <mergeCell ref="O33:R33"/>
    <mergeCell ref="S33:U33"/>
    <mergeCell ref="V33:W33"/>
    <mergeCell ref="X33:AA33"/>
    <mergeCell ref="AB32:AE32"/>
    <mergeCell ref="AG32:AJ32"/>
    <mergeCell ref="AK32:AN32"/>
    <mergeCell ref="AO32:AR32"/>
    <mergeCell ref="AB33:AE33"/>
    <mergeCell ref="AG33:AJ33"/>
    <mergeCell ref="AK33:AN33"/>
    <mergeCell ref="AO33:AR33"/>
    <mergeCell ref="AS33:AV33"/>
    <mergeCell ref="B34:C34"/>
    <mergeCell ref="D34:E34"/>
    <mergeCell ref="F34:H34"/>
    <mergeCell ref="I34:J34"/>
    <mergeCell ref="K34:N34"/>
    <mergeCell ref="AK34:AN34"/>
    <mergeCell ref="AO34:AR34"/>
    <mergeCell ref="AS34:AV34"/>
    <mergeCell ref="B35:C35"/>
    <mergeCell ref="D35:E35"/>
    <mergeCell ref="F35:H35"/>
    <mergeCell ref="I35:J35"/>
    <mergeCell ref="K35:N35"/>
    <mergeCell ref="O35:R35"/>
    <mergeCell ref="S35:U35"/>
    <mergeCell ref="O34:R34"/>
    <mergeCell ref="S34:U34"/>
    <mergeCell ref="V34:W34"/>
    <mergeCell ref="X34:AA34"/>
    <mergeCell ref="AB34:AE34"/>
    <mergeCell ref="AG34:AJ34"/>
    <mergeCell ref="AB36:AE36"/>
    <mergeCell ref="AG36:AJ36"/>
    <mergeCell ref="AK36:AN36"/>
    <mergeCell ref="AO36:AR36"/>
    <mergeCell ref="AS36:AV36"/>
    <mergeCell ref="A37:C37"/>
    <mergeCell ref="AS35:AV35"/>
    <mergeCell ref="B36:C36"/>
    <mergeCell ref="D36:E36"/>
    <mergeCell ref="F36:H36"/>
    <mergeCell ref="I36:J36"/>
    <mergeCell ref="K36:N36"/>
    <mergeCell ref="O36:R36"/>
    <mergeCell ref="S36:U36"/>
    <mergeCell ref="V36:W36"/>
    <mergeCell ref="X36:AA36"/>
    <mergeCell ref="V35:W35"/>
    <mergeCell ref="X35:AA35"/>
    <mergeCell ref="AB35:AE35"/>
    <mergeCell ref="AG35:AJ35"/>
    <mergeCell ref="AK35:AN35"/>
    <mergeCell ref="AO35:AR35"/>
    <mergeCell ref="U49:X49"/>
    <mergeCell ref="Y49:AD49"/>
    <mergeCell ref="P45:Q45"/>
    <mergeCell ref="A49:E49"/>
    <mergeCell ref="P49:S49"/>
    <mergeCell ref="H49:M49"/>
    <mergeCell ref="L41:M41"/>
    <mergeCell ref="L42:M42"/>
    <mergeCell ref="L43:M43"/>
    <mergeCell ref="L44:M44"/>
  </mergeCells>
  <phoneticPr fontId="2" type="noConversion"/>
  <dataValidations count="3">
    <dataValidation type="list" allowBlank="1" showInputMessage="1" showErrorMessage="1" sqref="L12" xr:uid="{00000000-0002-0000-12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1200-000001000000}">
      <formula1>$AG$4:$AG$5</formula1>
    </dataValidation>
    <dataValidation type="list" allowBlank="1" showInputMessage="1" showErrorMessage="1" sqref="U44" xr:uid="{00000000-0002-0000-1200-000002000000}">
      <formula1>$AF$4:$AF$5</formula1>
    </dataValidation>
  </dataValidations>
  <hyperlinks>
    <hyperlink ref="AF1" location="WorkSheet!A1" display="批次表" xr:uid="{00000000-0004-0000-1200-000000000000}"/>
    <hyperlink ref="AF2" location="樣品清單!A1" display="樣品清單" xr:uid="{00000000-0004-0000-12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WorkSheet!C33&amp;WorkSheet!G33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IFERROR(INDEX(samplename,MATCH(WorkSheet!C33,Job_No,0)),"--")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IF(樣品清單!AD$16="","--",樣品清單!AD$16)</f>
        <v>--</v>
      </c>
      <c r="C19" s="651"/>
      <c r="D19" s="575" t="str">
        <f ca="1">IFERROR(IF(INDEX(測試方法!$A$1:$AZ$98,MATCH(sample14!$D$5,測試方法!$A$1:$A$98,0),MATCH(sample14!B19,測試方法!$A$2:$AZ$2,0))&lt;&gt;"",INDEX(測試方法!$A$1:$AZ$98,MATCH(sample14!$D$5,測試方法!$A$1:$A$98,0),MATCH(sample14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IF(I19=1,WorkSheet!$AF$33,CONCATENATE(WorkSheet!$AF$33&amp;"D"&amp;I19))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IF(V19=1,WorkSheet!$AF$33,CONCATENATE(WorkSheet!$AF$33&amp;"D"&amp;V19))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IF(樣品清單!AE$16="","--",樣品清單!AE$16)</f>
        <v>--</v>
      </c>
      <c r="C20" s="648"/>
      <c r="D20" s="554" t="str">
        <f ca="1">IFERROR(IF(INDEX(測試方法!$A$1:$AZ$98,MATCH(sample14!$D$5,測試方法!$A$1:$A$98,0),MATCH(sample14!B20,測試方法!$A$2:$AZ$2,0))&lt;&gt;"",INDEX(測試方法!$A$1:$AZ$98,MATCH(sample14!$D$5,測試方法!$A$1:$A$98,0),MATCH(sample14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IF(I20=1,WorkSheet!$AF$33,CONCATENATE(WorkSheet!$AF$33&amp;"D"&amp;I20))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IF(V20=1,WorkSheet!$AF$33,CONCATENATE(WorkSheet!$AF$33&amp;"D"&amp;V20))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IF(樣品清單!AF$16="","--",樣品清單!AF$16)</f>
        <v>--</v>
      </c>
      <c r="C21" s="648"/>
      <c r="D21" s="554" t="str">
        <f ca="1">IFERROR(IF(INDEX(測試方法!$A$1:$AZ$98,MATCH(sample14!$D$5,測試方法!$A$1:$A$98,0),MATCH(sample14!B21,測試方法!$A$2:$AZ$2,0))&lt;&gt;"",INDEX(測試方法!$A$1:$AZ$98,MATCH(sample14!$D$5,測試方法!$A$1:$A$98,0),MATCH(sample14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IF(I21=1,WorkSheet!$AF$33,CONCATENATE(WorkSheet!$AF$33&amp;"D"&amp;I21))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IF(V21=1,WorkSheet!$AF$33,CONCATENATE(WorkSheet!$AF$33&amp;"D"&amp;V21))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IF(樣品清單!AG$16="","--",樣品清單!AG$16)</f>
        <v>--</v>
      </c>
      <c r="C22" s="648"/>
      <c r="D22" s="554" t="str">
        <f ca="1">IFERROR(IF(INDEX(測試方法!$A$1:$AZ$98,MATCH(sample14!$D$5,測試方法!$A$1:$A$98,0),MATCH(sample14!B22,測試方法!$A$2:$AZ$2,0))&lt;&gt;"",INDEX(測試方法!$A$1:$AZ$98,MATCH(sample14!$D$5,測試方法!$A$1:$A$98,0),MATCH(sample14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IF(I22=1,WorkSheet!$AF$33,CONCATENATE(WorkSheet!$AF$33&amp;"D"&amp;I22))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IF(V22=1,WorkSheet!$AF$33,CONCATENATE(WorkSheet!$AF$33&amp;"D"&amp;V22))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IF(樣品清單!AH$16="","--",樣品清單!AH$16)</f>
        <v>--</v>
      </c>
      <c r="C23" s="648"/>
      <c r="D23" s="554" t="str">
        <f ca="1">IFERROR(IF(INDEX(測試方法!$A$1:$AZ$98,MATCH(sample14!$D$5,測試方法!$A$1:$A$98,0),MATCH(sample14!B23,測試方法!$A$2:$AZ$2,0))&lt;&gt;"",INDEX(測試方法!$A$1:$AZ$98,MATCH(sample14!$D$5,測試方法!$A$1:$A$98,0),MATCH(sample14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IF(I23=1,WorkSheet!$AF$33,CONCATENATE(WorkSheet!$AF$33&amp;"D"&amp;I23))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IF(V23=1,WorkSheet!$AF$33,CONCATENATE(WorkSheet!$AF$33&amp;"D"&amp;V23))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IF(樣品清單!AI$16="","--",樣品清單!AI$16)</f>
        <v>--</v>
      </c>
      <c r="C24" s="648"/>
      <c r="D24" s="554" t="str">
        <f ca="1">IFERROR(IF(INDEX(測試方法!$A$1:$AZ$98,MATCH(sample14!$D$5,測試方法!$A$1:$A$98,0),MATCH(sample14!B24,測試方法!$A$2:$AZ$2,0))&lt;&gt;"",INDEX(測試方法!$A$1:$AZ$98,MATCH(sample14!$D$5,測試方法!$A$1:$A$98,0),MATCH(sample14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IF(I24=1,WorkSheet!$AF$33,CONCATENATE(WorkSheet!$AF$33&amp;"D"&amp;I24))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IF(V24=1,WorkSheet!$AF$33,CONCATENATE(WorkSheet!$AF$33&amp;"D"&amp;V24))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IF(樣品清單!AJ$16="","--",樣品清單!AJ$16)</f>
        <v>--</v>
      </c>
      <c r="C25" s="648"/>
      <c r="D25" s="554" t="str">
        <f ca="1">IFERROR(IF(INDEX(測試方法!$A$1:$AZ$98,MATCH(sample14!$D$5,測試方法!$A$1:$A$98,0),MATCH(sample14!B25,測試方法!$A$2:$AZ$2,0))&lt;&gt;"",INDEX(測試方法!$A$1:$AZ$98,MATCH(sample14!$D$5,測試方法!$A$1:$A$98,0),MATCH(sample14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IF(I25=1,WorkSheet!$AF$33,CONCATENATE(WorkSheet!$AF$33&amp;"D"&amp;I25))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IF(V25=1,WorkSheet!$AF$33,CONCATENATE(WorkSheet!$AF$33&amp;"D"&amp;V25))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IF(樣品清單!AK$16="","--",樣品清單!AK$16)</f>
        <v>--</v>
      </c>
      <c r="C26" s="648"/>
      <c r="D26" s="554" t="str">
        <f ca="1">IFERROR(IF(INDEX(測試方法!$A$1:$AZ$98,MATCH(sample14!$D$5,測試方法!$A$1:$A$98,0),MATCH(sample14!B26,測試方法!$A$2:$AZ$2,0))&lt;&gt;"",INDEX(測試方法!$A$1:$AZ$98,MATCH(sample14!$D$5,測試方法!$A$1:$A$98,0),MATCH(sample14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IF(I26=1,WorkSheet!$AF$33,CONCATENATE(WorkSheet!$AF$33&amp;"D"&amp;I26))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IF(V26=1,WorkSheet!$AF$33,CONCATENATE(WorkSheet!$AF$33&amp;"D"&amp;V26))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IF(樣品清單!AL$16="","--",樣品清單!AL$16)</f>
        <v>--</v>
      </c>
      <c r="C27" s="648"/>
      <c r="D27" s="554" t="str">
        <f ca="1">IFERROR(IF(INDEX(測試方法!$A$1:$AZ$98,MATCH(sample14!$D$5,測試方法!$A$1:$A$98,0),MATCH(sample14!B27,測試方法!$A$2:$AZ$2,0))&lt;&gt;"",INDEX(測試方法!$A$1:$AZ$98,MATCH(sample14!$D$5,測試方法!$A$1:$A$98,0),MATCH(sample14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IF(I27=1,WorkSheet!$AF$33,CONCATENATE(WorkSheet!$AF$33&amp;"D"&amp;I27))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IF(V27=1,WorkSheet!$AF$33,CONCATENATE(WorkSheet!$AF$33&amp;"D"&amp;V27))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IF(樣品清單!AM$16="","--",樣品清單!AM$16)</f>
        <v>--</v>
      </c>
      <c r="C28" s="648"/>
      <c r="D28" s="554" t="str">
        <f ca="1">IFERROR(IF(INDEX(測試方法!$A$1:$AZ$98,MATCH(sample14!$D$5,測試方法!$A$1:$A$98,0),MATCH(sample14!B28,測試方法!$A$2:$AZ$2,0))&lt;&gt;"",INDEX(測試方法!$A$1:$AZ$98,MATCH(sample14!$D$5,測試方法!$A$1:$A$98,0),MATCH(sample14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IF(I28=1,WorkSheet!$AF$33,CONCATENATE(WorkSheet!$AF$33&amp;"D"&amp;I28))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IF(V28=1,WorkSheet!$AF$33,CONCATENATE(WorkSheet!$AF$33&amp;"D"&amp;V28))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IF(樣品清單!AN$16="","--",樣品清單!AN$16)</f>
        <v>--</v>
      </c>
      <c r="C29" s="648"/>
      <c r="D29" s="554" t="str">
        <f ca="1">IFERROR(IF(INDEX(測試方法!$A$1:$AZ$98,MATCH(sample14!$D$5,測試方法!$A$1:$A$98,0),MATCH(sample14!B29,測試方法!$A$2:$AZ$2,0))&lt;&gt;"",INDEX(測試方法!$A$1:$AZ$98,MATCH(sample14!$D$5,測試方法!$A$1:$A$98,0),MATCH(sample14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IF(I29=1,WorkSheet!$AF$33,CONCATENATE(WorkSheet!$AF$33&amp;"D"&amp;I29))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IF(V29=1,WorkSheet!$AF$33,CONCATENATE(WorkSheet!$AF$33&amp;"D"&amp;V29))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IF(樣品清單!AO$16="","--",樣品清單!AO$16)</f>
        <v>--</v>
      </c>
      <c r="C30" s="648"/>
      <c r="D30" s="554" t="str">
        <f ca="1">IFERROR(IF(INDEX(測試方法!$A$1:$AZ$98,MATCH(sample14!$D$5,測試方法!$A$1:$A$98,0),MATCH(sample14!B30,測試方法!$A$2:$AZ$2,0))&lt;&gt;"",INDEX(測試方法!$A$1:$AZ$98,MATCH(sample14!$D$5,測試方法!$A$1:$A$98,0),MATCH(sample14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IF(I30=1,WorkSheet!$AF$33,CONCATENATE(WorkSheet!$AF$33&amp;"D"&amp;I30))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IF(V30=1,WorkSheet!$AF$33,CONCATENATE(WorkSheet!$AF$33&amp;"D"&amp;V30))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IF(樣品清單!AP$16="","--",樣品清單!AP$16)</f>
        <v>--</v>
      </c>
      <c r="C31" s="648"/>
      <c r="D31" s="554" t="str">
        <f ca="1">IFERROR(IF(INDEX(測試方法!$A$1:$AZ$98,MATCH(sample14!$D$5,測試方法!$A$1:$A$98,0),MATCH(sample14!B31,測試方法!$A$2:$AZ$2,0))&lt;&gt;"",INDEX(測試方法!$A$1:$AZ$98,MATCH(sample14!$D$5,測試方法!$A$1:$A$98,0),MATCH(sample14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IF(I31=1,WorkSheet!$AF$33,CONCATENATE(WorkSheet!$AF$33&amp;"D"&amp;I31))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IF(V31=1,WorkSheet!$AF$33,CONCATENATE(WorkSheet!$AF$33&amp;"D"&amp;V31))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IF(樣品清單!AQ$16="","--",樣品清單!AQ$16)</f>
        <v>--</v>
      </c>
      <c r="C32" s="648"/>
      <c r="D32" s="554" t="str">
        <f ca="1">IFERROR(IF(INDEX(測試方法!$A$1:$AZ$98,MATCH(sample14!$D$5,測試方法!$A$1:$A$98,0),MATCH(sample14!B32,測試方法!$A$2:$AZ$2,0))&lt;&gt;"",INDEX(測試方法!$A$1:$AZ$98,MATCH(sample14!$D$5,測試方法!$A$1:$A$98,0),MATCH(sample14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IF(I32=1,WorkSheet!$AF$33,CONCATENATE(WorkSheet!$AF$33&amp;"D"&amp;I32))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IF(V32=1,WorkSheet!$AF$33,CONCATENATE(WorkSheet!$AF$33&amp;"D"&amp;V32))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IF(樣品清單!AR$16="","--",樣品清單!AR$16)</f>
        <v>--</v>
      </c>
      <c r="C33" s="648"/>
      <c r="D33" s="554" t="str">
        <f ca="1">IFERROR(IF(INDEX(測試方法!$A$1:$AZ$98,MATCH(sample14!$D$5,測試方法!$A$1:$A$98,0),MATCH(sample14!B33,測試方法!$A$2:$AZ$2,0))&lt;&gt;"",INDEX(測試方法!$A$1:$AZ$98,MATCH(sample14!$D$5,測試方法!$A$1:$A$98,0),MATCH(sample14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IF(I33=1,WorkSheet!$AF$33,CONCATENATE(WorkSheet!$AF$33&amp;"D"&amp;I33))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IF(V33=1,WorkSheet!$AF$33,CONCATENATE(WorkSheet!$AF$33&amp;"D"&amp;V33))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IF(樣品清單!AS$16="","--",樣品清單!AS$16)</f>
        <v>--</v>
      </c>
      <c r="C34" s="648"/>
      <c r="D34" s="554" t="str">
        <f ca="1">IFERROR(IF(INDEX(測試方法!$A$1:$AZ$98,MATCH(sample14!$D$5,測試方法!$A$1:$A$98,0),MATCH(sample14!B34,測試方法!$A$2:$AZ$2,0))&lt;&gt;"",INDEX(測試方法!$A$1:$AZ$98,MATCH(sample14!$D$5,測試方法!$A$1:$A$98,0),MATCH(sample14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IF(I34=1,WorkSheet!$AF$33,CONCATENATE(WorkSheet!$AF$33&amp;"D"&amp;I34))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IF(V34=1,WorkSheet!$AF$33,CONCATENATE(WorkSheet!$AF$33&amp;"D"&amp;V34))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IF(樣品清單!AT$16="","--",樣品清單!AT$16)</f>
        <v>--</v>
      </c>
      <c r="C35" s="648"/>
      <c r="D35" s="554" t="str">
        <f ca="1">IFERROR(IF(INDEX(測試方法!$A$1:$AZ$98,MATCH(sample14!$D$5,測試方法!$A$1:$A$98,0),MATCH(sample14!B35,測試方法!$A$2:$AZ$2,0))&lt;&gt;"",INDEX(測試方法!$A$1:$AZ$98,MATCH(sample14!$D$5,測試方法!$A$1:$A$98,0),MATCH(sample14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IF(I35=1,WorkSheet!$AF$33,CONCATENATE(WorkSheet!$AF$33&amp;"D"&amp;I35))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IF(V35=1,WorkSheet!$AF$33,CONCATENATE(WorkSheet!$AF$33&amp;"D"&amp;V35))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IF(樣品清單!AU$16="","--",樣品清單!AU$16)</f>
        <v>--</v>
      </c>
      <c r="C36" s="646"/>
      <c r="D36" s="542" t="str">
        <f ca="1">IFERROR(IF(INDEX(測試方法!$A$1:$AZ$98,MATCH(sample14!$D$5,測試方法!$A$1:$A$98,0),MATCH(sample14!B36,測試方法!$A$2:$AZ$2,0))&lt;&gt;"",INDEX(測試方法!$A$1:$AZ$98,MATCH(sample14!$D$5,測試方法!$A$1:$A$98,0),MATCH(sample14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IF(I36=1,WorkSheet!$AF$33,CONCATENATE(WorkSheet!$AF$33&amp;"D"&amp;I36))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IF(V36=1,WorkSheet!$AF$33,CONCATENATE(WorkSheet!$AF$33&amp;"D"&amp;V36))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1300-000000000000}">
      <formula1>$AG$4:$AG$5</formula1>
    </dataValidation>
    <dataValidation type="list" allowBlank="1" showInputMessage="1" showErrorMessage="1" sqref="L12" xr:uid="{00000000-0002-0000-1300-000001000000}">
      <formula1>$AG$4:$AG$7</formula1>
    </dataValidation>
    <dataValidation type="list" allowBlank="1" showInputMessage="1" showErrorMessage="1" sqref="U44" xr:uid="{00000000-0002-0000-1300-000002000000}">
      <formula1>$AF$4:$AF$5</formula1>
    </dataValidation>
  </dataValidations>
  <hyperlinks>
    <hyperlink ref="AF1" location="WorkSheet!A1" display="批次表" xr:uid="{00000000-0004-0000-1300-000000000000}"/>
    <hyperlink ref="AF2" location="樣品清單!A1" display="樣品清單" xr:uid="{00000000-0004-0000-13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WorkSheet!C34&amp;WorkSheet!G34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IFERROR(INDEX(samplename,MATCH(WorkSheet!C34,Job_No,0)),"--")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IF(樣品清單!AD$17="","--",樣品清單!AD$17)</f>
        <v>--</v>
      </c>
      <c r="C19" s="651"/>
      <c r="D19" s="575" t="str">
        <f ca="1">IFERROR(IF(INDEX(測試方法!$A$1:$AZ$98,MATCH(sample15!$D$5,測試方法!$A$1:$A$98,0),MATCH(sample15!B19,測試方法!$A$2:$AZ$2,0))&lt;&gt;"",INDEX(測試方法!$A$1:$AZ$98,MATCH(sample15!$D$5,測試方法!$A$1:$A$98,0),MATCH(sample15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IF(I19=1,WorkSheet!$AF$34,CONCATENATE(WorkSheet!$AF$34&amp;"D"&amp;I19))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IF(V19=1,WorkSheet!$AF$34,CONCATENATE(WorkSheet!$AF$34&amp;"D"&amp;V19))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IF(樣品清單!AE$17="","--",樣品清單!AE$17)</f>
        <v>--</v>
      </c>
      <c r="C20" s="648"/>
      <c r="D20" s="554" t="str">
        <f ca="1">IFERROR(IF(INDEX(測試方法!$A$1:$AZ$98,MATCH(sample15!$D$5,測試方法!$A$1:$A$98,0),MATCH(sample15!B20,測試方法!$A$2:$AZ$2,0))&lt;&gt;"",INDEX(測試方法!$A$1:$AZ$98,MATCH(sample15!$D$5,測試方法!$A$1:$A$98,0),MATCH(sample15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IF(I20=1,WorkSheet!$AF$34,CONCATENATE(WorkSheet!$AF$34&amp;"D"&amp;I20))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IF(V20=1,WorkSheet!$AF$34,CONCATENATE(WorkSheet!$AF$34&amp;"D"&amp;V20))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IF(樣品清單!AF$17="","--",樣品清單!AF$17)</f>
        <v>--</v>
      </c>
      <c r="C21" s="648"/>
      <c r="D21" s="554" t="str">
        <f ca="1">IFERROR(IF(INDEX(測試方法!$A$1:$AZ$98,MATCH(sample15!$D$5,測試方法!$A$1:$A$98,0),MATCH(sample15!B21,測試方法!$A$2:$AZ$2,0))&lt;&gt;"",INDEX(測試方法!$A$1:$AZ$98,MATCH(sample15!$D$5,測試方法!$A$1:$A$98,0),MATCH(sample15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IF(I21=1,WorkSheet!$AF$34,CONCATENATE(WorkSheet!$AF$34&amp;"D"&amp;I21))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IF(V21=1,WorkSheet!$AF$34,CONCATENATE(WorkSheet!$AF$34&amp;"D"&amp;V21))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IF(樣品清單!AG$17="","--",樣品清單!AG$17)</f>
        <v>--</v>
      </c>
      <c r="C22" s="648"/>
      <c r="D22" s="554" t="str">
        <f ca="1">IFERROR(IF(INDEX(測試方法!$A$1:$AZ$98,MATCH(sample15!$D$5,測試方法!$A$1:$A$98,0),MATCH(sample15!B22,測試方法!$A$2:$AZ$2,0))&lt;&gt;"",INDEX(測試方法!$A$1:$AZ$98,MATCH(sample15!$D$5,測試方法!$A$1:$A$98,0),MATCH(sample15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IF(I22=1,WorkSheet!$AF$34,CONCATENATE(WorkSheet!$AF$34&amp;"D"&amp;I22))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IF(V22=1,WorkSheet!$AF$34,CONCATENATE(WorkSheet!$AF$34&amp;"D"&amp;V22))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IF(樣品清單!AH$17="","--",樣品清單!AH$17)</f>
        <v>--</v>
      </c>
      <c r="C23" s="648"/>
      <c r="D23" s="554" t="str">
        <f ca="1">IFERROR(IF(INDEX(測試方法!$A$1:$AZ$98,MATCH(sample15!$D$5,測試方法!$A$1:$A$98,0),MATCH(sample15!B23,測試方法!$A$2:$AZ$2,0))&lt;&gt;"",INDEX(測試方法!$A$1:$AZ$98,MATCH(sample15!$D$5,測試方法!$A$1:$A$98,0),MATCH(sample15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IF(I23=1,WorkSheet!$AF$34,CONCATENATE(WorkSheet!$AF$34&amp;"D"&amp;I23))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IF(V23=1,WorkSheet!$AF$34,CONCATENATE(WorkSheet!$AF$34&amp;"D"&amp;V23))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IF(樣品清單!AI$17="","--",樣品清單!AI$17)</f>
        <v>--</v>
      </c>
      <c r="C24" s="648"/>
      <c r="D24" s="554" t="str">
        <f ca="1">IFERROR(IF(INDEX(測試方法!$A$1:$AZ$98,MATCH(sample15!$D$5,測試方法!$A$1:$A$98,0),MATCH(sample15!B24,測試方法!$A$2:$AZ$2,0))&lt;&gt;"",INDEX(測試方法!$A$1:$AZ$98,MATCH(sample15!$D$5,測試方法!$A$1:$A$98,0),MATCH(sample15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IF(I24=1,WorkSheet!$AF$34,CONCATENATE(WorkSheet!$AF$34&amp;"D"&amp;I24))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IF(V24=1,WorkSheet!$AF$34,CONCATENATE(WorkSheet!$AF$34&amp;"D"&amp;V24))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IF(樣品清單!AJ$17="","--",樣品清單!AJ$17)</f>
        <v>--</v>
      </c>
      <c r="C25" s="648"/>
      <c r="D25" s="554" t="str">
        <f ca="1">IFERROR(IF(INDEX(測試方法!$A$1:$AZ$98,MATCH(sample15!$D$5,測試方法!$A$1:$A$98,0),MATCH(sample15!B25,測試方法!$A$2:$AZ$2,0))&lt;&gt;"",INDEX(測試方法!$A$1:$AZ$98,MATCH(sample15!$D$5,測試方法!$A$1:$A$98,0),MATCH(sample15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IF(I25=1,WorkSheet!$AF$34,CONCATENATE(WorkSheet!$AF$34&amp;"D"&amp;I25))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IF(V25=1,WorkSheet!$AF$34,CONCATENATE(WorkSheet!$AF$34&amp;"D"&amp;V25))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IF(樣品清單!AK$17="","--",樣品清單!AK$17)</f>
        <v>--</v>
      </c>
      <c r="C26" s="648"/>
      <c r="D26" s="554" t="str">
        <f ca="1">IFERROR(IF(INDEX(測試方法!$A$1:$AZ$98,MATCH(sample15!$D$5,測試方法!$A$1:$A$98,0),MATCH(sample15!B26,測試方法!$A$2:$AZ$2,0))&lt;&gt;"",INDEX(測試方法!$A$1:$AZ$98,MATCH(sample15!$D$5,測試方法!$A$1:$A$98,0),MATCH(sample15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IF(I26=1,WorkSheet!$AF$34,CONCATENATE(WorkSheet!$AF$34&amp;"D"&amp;I26))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IF(V26=1,WorkSheet!$AF$34,CONCATENATE(WorkSheet!$AF$34&amp;"D"&amp;V26))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IF(樣品清單!AL$17="","--",樣品清單!AL$17)</f>
        <v>--</v>
      </c>
      <c r="C27" s="648"/>
      <c r="D27" s="554" t="str">
        <f ca="1">IFERROR(IF(INDEX(測試方法!$A$1:$AZ$98,MATCH(sample15!$D$5,測試方法!$A$1:$A$98,0),MATCH(sample15!B27,測試方法!$A$2:$AZ$2,0))&lt;&gt;"",INDEX(測試方法!$A$1:$AZ$98,MATCH(sample15!$D$5,測試方法!$A$1:$A$98,0),MATCH(sample15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IF(I27=1,WorkSheet!$AF$34,CONCATENATE(WorkSheet!$AF$34&amp;"D"&amp;I27))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IF(V27=1,WorkSheet!$AF$34,CONCATENATE(WorkSheet!$AF$34&amp;"D"&amp;V27))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IF(樣品清單!AM$17="","--",樣品清單!AM$17)</f>
        <v>--</v>
      </c>
      <c r="C28" s="648"/>
      <c r="D28" s="554" t="str">
        <f ca="1">IFERROR(IF(INDEX(測試方法!$A$1:$AZ$98,MATCH(sample15!$D$5,測試方法!$A$1:$A$98,0),MATCH(sample15!B28,測試方法!$A$2:$AZ$2,0))&lt;&gt;"",INDEX(測試方法!$A$1:$AZ$98,MATCH(sample15!$D$5,測試方法!$A$1:$A$98,0),MATCH(sample15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IF(I28=1,WorkSheet!$AF$34,CONCATENATE(WorkSheet!$AF$34&amp;"D"&amp;I28))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IF(V28=1,WorkSheet!$AF$34,CONCATENATE(WorkSheet!$AF$34&amp;"D"&amp;V28))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IF(樣品清單!AN$17="","--",樣品清單!AN$17)</f>
        <v>--</v>
      </c>
      <c r="C29" s="648"/>
      <c r="D29" s="554" t="str">
        <f ca="1">IFERROR(IF(INDEX(測試方法!$A$1:$AZ$98,MATCH(sample15!$D$5,測試方法!$A$1:$A$98,0),MATCH(sample15!B29,測試方法!$A$2:$AZ$2,0))&lt;&gt;"",INDEX(測試方法!$A$1:$AZ$98,MATCH(sample15!$D$5,測試方法!$A$1:$A$98,0),MATCH(sample15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IF(I29=1,WorkSheet!$AF$34,CONCATENATE(WorkSheet!$AF$34&amp;"D"&amp;I29))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IF(V29=1,WorkSheet!$AF$34,CONCATENATE(WorkSheet!$AF$34&amp;"D"&amp;V29))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IF(樣品清單!AO$17="","--",樣品清單!AO$17)</f>
        <v>--</v>
      </c>
      <c r="C30" s="648"/>
      <c r="D30" s="554" t="str">
        <f ca="1">IFERROR(IF(INDEX(測試方法!$A$1:$AZ$98,MATCH(sample15!$D$5,測試方法!$A$1:$A$98,0),MATCH(sample15!B30,測試方法!$A$2:$AZ$2,0))&lt;&gt;"",INDEX(測試方法!$A$1:$AZ$98,MATCH(sample15!$D$5,測試方法!$A$1:$A$98,0),MATCH(sample15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IF(I30=1,WorkSheet!$AF$34,CONCATENATE(WorkSheet!$AF$34&amp;"D"&amp;I30))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IF(V30=1,WorkSheet!$AF$34,CONCATENATE(WorkSheet!$AF$34&amp;"D"&amp;V30))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IF(樣品清單!AP$17="","--",樣品清單!AP$17)</f>
        <v>--</v>
      </c>
      <c r="C31" s="648"/>
      <c r="D31" s="554" t="str">
        <f ca="1">IFERROR(IF(INDEX(測試方法!$A$1:$AZ$98,MATCH(sample15!$D$5,測試方法!$A$1:$A$98,0),MATCH(sample15!B31,測試方法!$A$2:$AZ$2,0))&lt;&gt;"",INDEX(測試方法!$A$1:$AZ$98,MATCH(sample15!$D$5,測試方法!$A$1:$A$98,0),MATCH(sample15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IF(I31=1,WorkSheet!$AF$34,CONCATENATE(WorkSheet!$AF$34&amp;"D"&amp;I31))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IF(V31=1,WorkSheet!$AF$34,CONCATENATE(WorkSheet!$AF$34&amp;"D"&amp;V31))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IF(樣品清單!AQ$17="","--",樣品清單!AQ$17)</f>
        <v>--</v>
      </c>
      <c r="C32" s="648"/>
      <c r="D32" s="554" t="str">
        <f ca="1">IFERROR(IF(INDEX(測試方法!$A$1:$AZ$98,MATCH(sample15!$D$5,測試方法!$A$1:$A$98,0),MATCH(sample15!B32,測試方法!$A$2:$AZ$2,0))&lt;&gt;"",INDEX(測試方法!$A$1:$AZ$98,MATCH(sample15!$D$5,測試方法!$A$1:$A$98,0),MATCH(sample15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IF(I32=1,WorkSheet!$AF$34,CONCATENATE(WorkSheet!$AF$34&amp;"D"&amp;I32))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IF(V32=1,WorkSheet!$AF$34,CONCATENATE(WorkSheet!$AF$34&amp;"D"&amp;V32))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IF(樣品清單!AR$17="","--",樣品清單!AR$17)</f>
        <v>--</v>
      </c>
      <c r="C33" s="648"/>
      <c r="D33" s="554" t="str">
        <f ca="1">IFERROR(IF(INDEX(測試方法!$A$1:$AZ$98,MATCH(sample15!$D$5,測試方法!$A$1:$A$98,0),MATCH(sample15!B33,測試方法!$A$2:$AZ$2,0))&lt;&gt;"",INDEX(測試方法!$A$1:$AZ$98,MATCH(sample15!$D$5,測試方法!$A$1:$A$98,0),MATCH(sample15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IF(I33=1,WorkSheet!$AF$34,CONCATENATE(WorkSheet!$AF$34&amp;"D"&amp;I33))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IF(V33=1,WorkSheet!$AF$34,CONCATENATE(WorkSheet!$AF$34&amp;"D"&amp;V33))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IF(樣品清單!AS$17="","--",樣品清單!AS$17)</f>
        <v>--</v>
      </c>
      <c r="C34" s="648"/>
      <c r="D34" s="554" t="str">
        <f ca="1">IFERROR(IF(INDEX(測試方法!$A$1:$AZ$98,MATCH(sample15!$D$5,測試方法!$A$1:$A$98,0),MATCH(sample15!B34,測試方法!$A$2:$AZ$2,0))&lt;&gt;"",INDEX(測試方法!$A$1:$AZ$98,MATCH(sample15!$D$5,測試方法!$A$1:$A$98,0),MATCH(sample15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IF(I34=1,WorkSheet!$AF$34,CONCATENATE(WorkSheet!$AF$34&amp;"D"&amp;I34))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IF(V34=1,WorkSheet!$AF$34,CONCATENATE(WorkSheet!$AF$34&amp;"D"&amp;V34))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IF(樣品清單!AT$17="","--",樣品清單!AT$17)</f>
        <v>--</v>
      </c>
      <c r="C35" s="648"/>
      <c r="D35" s="554" t="str">
        <f ca="1">IFERROR(IF(INDEX(測試方法!$A$1:$AZ$98,MATCH(sample15!$D$5,測試方法!$A$1:$A$98,0),MATCH(sample15!B35,測試方法!$A$2:$AZ$2,0))&lt;&gt;"",INDEX(測試方法!$A$1:$AZ$98,MATCH(sample15!$D$5,測試方法!$A$1:$A$98,0),MATCH(sample15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IF(I35=1,WorkSheet!$AF$34,CONCATENATE(WorkSheet!$AF$34&amp;"D"&amp;I35))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IF(V35=1,WorkSheet!$AF$34,CONCATENATE(WorkSheet!$AF$34&amp;"D"&amp;V35))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IF(樣品清單!AU$17="","--",樣品清單!AU$17)</f>
        <v>--</v>
      </c>
      <c r="C36" s="646"/>
      <c r="D36" s="542" t="str">
        <f ca="1">IFERROR(IF(INDEX(測試方法!$A$1:$AZ$98,MATCH(sample15!$D$5,測試方法!$A$1:$A$98,0),MATCH(sample15!B36,測試方法!$A$2:$AZ$2,0))&lt;&gt;"",INDEX(測試方法!$A$1:$AZ$98,MATCH(sample15!$D$5,測試方法!$A$1:$A$98,0),MATCH(sample15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IF(I36=1,WorkSheet!$AF$34,CONCATENATE(WorkSheet!$AF$34&amp;"D"&amp;I36))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IF(V36=1,WorkSheet!$AF$34,CONCATENATE(WorkSheet!$AF$34&amp;"D"&amp;V36))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L12" xr:uid="{00000000-0002-0000-14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1400-000001000000}">
      <formula1>$AG$4:$AG$5</formula1>
    </dataValidation>
    <dataValidation type="list" allowBlank="1" showInputMessage="1" showErrorMessage="1" sqref="U44" xr:uid="{00000000-0002-0000-1400-000002000000}">
      <formula1>$AF$4:$AF$5</formula1>
    </dataValidation>
  </dataValidations>
  <hyperlinks>
    <hyperlink ref="AF1" location="WorkSheet!A1" display="批次表" xr:uid="{00000000-0004-0000-1400-000000000000}"/>
    <hyperlink ref="AF2" location="樣品清單!A1" display="樣品清單" xr:uid="{00000000-0004-0000-14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WorkSheet!C35&amp;WorkSheet!G35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IFERROR(INDEX(samplename,MATCH(WorkSheet!C35,Job_No,0)),"--")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IF(樣品清單!AD$18="","--",樣品清單!AD$18)</f>
        <v>--</v>
      </c>
      <c r="C19" s="651"/>
      <c r="D19" s="575" t="str">
        <f ca="1">IFERROR(IF(INDEX(測試方法!$A$1:$AZ$98,MATCH(sample16!$D$5,測試方法!$A$1:$A$98,0),MATCH(sample16!B19,測試方法!$A$2:$AZ$2,0))&lt;&gt;"",INDEX(測試方法!$A$1:$AZ$98,MATCH(sample16!$D$5,測試方法!$A$1:$A$98,0),MATCH(sample16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IF(I19=1,WorkSheet!$AF$35,CONCATENATE(WorkSheet!$AF$35&amp;"D"&amp;I19))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IF(V19=1,WorkSheet!$AF$35,CONCATENATE(WorkSheet!$AF$35&amp;"D"&amp;V19))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IF(樣品清單!AE$18="","--",樣品清單!AE$18)</f>
        <v>--</v>
      </c>
      <c r="C20" s="648"/>
      <c r="D20" s="554" t="str">
        <f ca="1">IFERROR(IF(INDEX(測試方法!$A$1:$AZ$98,MATCH(sample16!$D$5,測試方法!$A$1:$A$98,0),MATCH(sample16!B20,測試方法!$A$2:$AZ$2,0))&lt;&gt;"",INDEX(測試方法!$A$1:$AZ$98,MATCH(sample16!$D$5,測試方法!$A$1:$A$98,0),MATCH(sample16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IF(I20=1,WorkSheet!$AF$35,CONCATENATE(WorkSheet!$AF$35&amp;"D"&amp;I20))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IF(V20=1,WorkSheet!$AF$35,CONCATENATE(WorkSheet!$AF$35&amp;"D"&amp;V20))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IF(樣品清單!AF$18="","--",樣品清單!AF$18)</f>
        <v>--</v>
      </c>
      <c r="C21" s="648"/>
      <c r="D21" s="554" t="str">
        <f ca="1">IFERROR(IF(INDEX(測試方法!$A$1:$AZ$98,MATCH(sample16!$D$5,測試方法!$A$1:$A$98,0),MATCH(sample16!B21,測試方法!$A$2:$AZ$2,0))&lt;&gt;"",INDEX(測試方法!$A$1:$AZ$98,MATCH(sample16!$D$5,測試方法!$A$1:$A$98,0),MATCH(sample16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IF(I21=1,WorkSheet!$AF$35,CONCATENATE(WorkSheet!$AF$35&amp;"D"&amp;I21))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IF(V21=1,WorkSheet!$AF$35,CONCATENATE(WorkSheet!$AF$35&amp;"D"&amp;V21))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IF(樣品清單!AG$18="","--",樣品清單!AG$18)</f>
        <v>--</v>
      </c>
      <c r="C22" s="648"/>
      <c r="D22" s="554" t="str">
        <f ca="1">IFERROR(IF(INDEX(測試方法!$A$1:$AZ$98,MATCH(sample16!$D$5,測試方法!$A$1:$A$98,0),MATCH(sample16!B22,測試方法!$A$2:$AZ$2,0))&lt;&gt;"",INDEX(測試方法!$A$1:$AZ$98,MATCH(sample16!$D$5,測試方法!$A$1:$A$98,0),MATCH(sample16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IF(I22=1,WorkSheet!$AF$35,CONCATENATE(WorkSheet!$AF$35&amp;"D"&amp;I22))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IF(V22=1,WorkSheet!$AF$35,CONCATENATE(WorkSheet!$AF$35&amp;"D"&amp;V22))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IF(樣品清單!AH$18="","--",樣品清單!AH$18)</f>
        <v>--</v>
      </c>
      <c r="C23" s="648"/>
      <c r="D23" s="554" t="str">
        <f ca="1">IFERROR(IF(INDEX(測試方法!$A$1:$AZ$98,MATCH(sample16!$D$5,測試方法!$A$1:$A$98,0),MATCH(sample16!B23,測試方法!$A$2:$AZ$2,0))&lt;&gt;"",INDEX(測試方法!$A$1:$AZ$98,MATCH(sample16!$D$5,測試方法!$A$1:$A$98,0),MATCH(sample16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IF(I23=1,WorkSheet!$AF$35,CONCATENATE(WorkSheet!$AF$35&amp;"D"&amp;I23))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IF(V23=1,WorkSheet!$AF$35,CONCATENATE(WorkSheet!$AF$35&amp;"D"&amp;V23))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IF(樣品清單!AI$18="","--",樣品清單!AI$18)</f>
        <v>--</v>
      </c>
      <c r="C24" s="648"/>
      <c r="D24" s="554" t="str">
        <f ca="1">IFERROR(IF(INDEX(測試方法!$A$1:$AZ$98,MATCH(sample16!$D$5,測試方法!$A$1:$A$98,0),MATCH(sample16!B24,測試方法!$A$2:$AZ$2,0))&lt;&gt;"",INDEX(測試方法!$A$1:$AZ$98,MATCH(sample16!$D$5,測試方法!$A$1:$A$98,0),MATCH(sample16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IF(I24=1,WorkSheet!$AF$35,CONCATENATE(WorkSheet!$AF$35&amp;"D"&amp;I24))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IF(V24=1,WorkSheet!$AF$35,CONCATENATE(WorkSheet!$AF$35&amp;"D"&amp;V24))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IF(樣品清單!AJ$18="","--",樣品清單!AJ$18)</f>
        <v>--</v>
      </c>
      <c r="C25" s="648"/>
      <c r="D25" s="554" t="str">
        <f ca="1">IFERROR(IF(INDEX(測試方法!$A$1:$AZ$98,MATCH(sample16!$D$5,測試方法!$A$1:$A$98,0),MATCH(sample16!B25,測試方法!$A$2:$AZ$2,0))&lt;&gt;"",INDEX(測試方法!$A$1:$AZ$98,MATCH(sample16!$D$5,測試方法!$A$1:$A$98,0),MATCH(sample16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IF(I25=1,WorkSheet!$AF$35,CONCATENATE(WorkSheet!$AF$35&amp;"D"&amp;I25))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IF(V25=1,WorkSheet!$AF$35,CONCATENATE(WorkSheet!$AF$35&amp;"D"&amp;V25))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IF(樣品清單!AK$18="","--",樣品清單!AK$18)</f>
        <v>--</v>
      </c>
      <c r="C26" s="648"/>
      <c r="D26" s="554" t="str">
        <f ca="1">IFERROR(IF(INDEX(測試方法!$A$1:$AZ$98,MATCH(sample16!$D$5,測試方法!$A$1:$A$98,0),MATCH(sample16!B26,測試方法!$A$2:$AZ$2,0))&lt;&gt;"",INDEX(測試方法!$A$1:$AZ$98,MATCH(sample16!$D$5,測試方法!$A$1:$A$98,0),MATCH(sample16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IF(I26=1,WorkSheet!$AF$35,CONCATENATE(WorkSheet!$AF$35&amp;"D"&amp;I26))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IF(V26=1,WorkSheet!$AF$35,CONCATENATE(WorkSheet!$AF$35&amp;"D"&amp;V26))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IF(樣品清單!AL$18="","--",樣品清單!AL$18)</f>
        <v>--</v>
      </c>
      <c r="C27" s="648"/>
      <c r="D27" s="554" t="str">
        <f ca="1">IFERROR(IF(INDEX(測試方法!$A$1:$AZ$98,MATCH(sample16!$D$5,測試方法!$A$1:$A$98,0),MATCH(sample16!B27,測試方法!$A$2:$AZ$2,0))&lt;&gt;"",INDEX(測試方法!$A$1:$AZ$98,MATCH(sample16!$D$5,測試方法!$A$1:$A$98,0),MATCH(sample16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IF(I27=1,WorkSheet!$AF$35,CONCATENATE(WorkSheet!$AF$35&amp;"D"&amp;I27))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IF(V27=1,WorkSheet!$AF$35,CONCATENATE(WorkSheet!$AF$35&amp;"D"&amp;V27))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IF(樣品清單!AM$18="","--",樣品清單!AM$18)</f>
        <v>--</v>
      </c>
      <c r="C28" s="648"/>
      <c r="D28" s="554" t="str">
        <f ca="1">IFERROR(IF(INDEX(測試方法!$A$1:$AZ$98,MATCH(sample16!$D$5,測試方法!$A$1:$A$98,0),MATCH(sample16!B28,測試方法!$A$2:$AZ$2,0))&lt;&gt;"",INDEX(測試方法!$A$1:$AZ$98,MATCH(sample16!$D$5,測試方法!$A$1:$A$98,0),MATCH(sample16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IF(I28=1,WorkSheet!$AF$35,CONCATENATE(WorkSheet!$AF$35&amp;"D"&amp;I28))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IF(V28=1,WorkSheet!$AF$35,CONCATENATE(WorkSheet!$AF$35&amp;"D"&amp;V28))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IF(樣品清單!AN$18="","--",樣品清單!AN$18)</f>
        <v>--</v>
      </c>
      <c r="C29" s="648"/>
      <c r="D29" s="554" t="str">
        <f ca="1">IFERROR(IF(INDEX(測試方法!$A$1:$AZ$98,MATCH(sample16!$D$5,測試方法!$A$1:$A$98,0),MATCH(sample16!B29,測試方法!$A$2:$AZ$2,0))&lt;&gt;"",INDEX(測試方法!$A$1:$AZ$98,MATCH(sample16!$D$5,測試方法!$A$1:$A$98,0),MATCH(sample16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IF(I29=1,WorkSheet!$AF$35,CONCATENATE(WorkSheet!$AF$35&amp;"D"&amp;I29))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IF(V29=1,WorkSheet!$AF$35,CONCATENATE(WorkSheet!$AF$35&amp;"D"&amp;V29))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IF(樣品清單!AO$18="","--",樣品清單!AO$18)</f>
        <v>--</v>
      </c>
      <c r="C30" s="648"/>
      <c r="D30" s="554" t="str">
        <f ca="1">IFERROR(IF(INDEX(測試方法!$A$1:$AZ$98,MATCH(sample16!$D$5,測試方法!$A$1:$A$98,0),MATCH(sample16!B30,測試方法!$A$2:$AZ$2,0))&lt;&gt;"",INDEX(測試方法!$A$1:$AZ$98,MATCH(sample16!$D$5,測試方法!$A$1:$A$98,0),MATCH(sample16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IF(I30=1,WorkSheet!$AF$35,CONCATENATE(WorkSheet!$AF$35&amp;"D"&amp;I30))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IF(V30=1,WorkSheet!$AF$35,CONCATENATE(WorkSheet!$AF$35&amp;"D"&amp;V30))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IF(樣品清單!AP$18="","--",樣品清單!AP$18)</f>
        <v>--</v>
      </c>
      <c r="C31" s="648"/>
      <c r="D31" s="554" t="str">
        <f ca="1">IFERROR(IF(INDEX(測試方法!$A$1:$AZ$98,MATCH(sample16!$D$5,測試方法!$A$1:$A$98,0),MATCH(sample16!B31,測試方法!$A$2:$AZ$2,0))&lt;&gt;"",INDEX(測試方法!$A$1:$AZ$98,MATCH(sample16!$D$5,測試方法!$A$1:$A$98,0),MATCH(sample16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IF(I31=1,WorkSheet!$AF$35,CONCATENATE(WorkSheet!$AF$35&amp;"D"&amp;I31))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IF(V31=1,WorkSheet!$AF$35,CONCATENATE(WorkSheet!$AF$35&amp;"D"&amp;V31))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IF(樣品清單!AQ$18="","--",樣品清單!AQ$18)</f>
        <v>--</v>
      </c>
      <c r="C32" s="648"/>
      <c r="D32" s="554" t="str">
        <f ca="1">IFERROR(IF(INDEX(測試方法!$A$1:$AZ$98,MATCH(sample16!$D$5,測試方法!$A$1:$A$98,0),MATCH(sample16!B32,測試方法!$A$2:$AZ$2,0))&lt;&gt;"",INDEX(測試方法!$A$1:$AZ$98,MATCH(sample16!$D$5,測試方法!$A$1:$A$98,0),MATCH(sample16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IF(I32=1,WorkSheet!$AF$35,CONCATENATE(WorkSheet!$AF$35&amp;"D"&amp;I32))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IF(V32=1,WorkSheet!$AF$35,CONCATENATE(WorkSheet!$AF$35&amp;"D"&amp;V32))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IF(樣品清單!AR$18="","--",樣品清單!AR$18)</f>
        <v>--</v>
      </c>
      <c r="C33" s="648"/>
      <c r="D33" s="554" t="str">
        <f ca="1">IFERROR(IF(INDEX(測試方法!$A$1:$AZ$98,MATCH(sample16!$D$5,測試方法!$A$1:$A$98,0),MATCH(sample16!B33,測試方法!$A$2:$AZ$2,0))&lt;&gt;"",INDEX(測試方法!$A$1:$AZ$98,MATCH(sample16!$D$5,測試方法!$A$1:$A$98,0),MATCH(sample16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IF(I33=1,WorkSheet!$AF$35,CONCATENATE(WorkSheet!$AF$35&amp;"D"&amp;I33))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IF(V33=1,WorkSheet!$AF$35,CONCATENATE(WorkSheet!$AF$35&amp;"D"&amp;V33))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IF(樣品清單!AS$18="","--",樣品清單!AS$18)</f>
        <v>--</v>
      </c>
      <c r="C34" s="648"/>
      <c r="D34" s="554" t="str">
        <f ca="1">IFERROR(IF(INDEX(測試方法!$A$1:$AZ$98,MATCH(sample16!$D$5,測試方法!$A$1:$A$98,0),MATCH(sample16!B34,測試方法!$A$2:$AZ$2,0))&lt;&gt;"",INDEX(測試方法!$A$1:$AZ$98,MATCH(sample16!$D$5,測試方法!$A$1:$A$98,0),MATCH(sample16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IF(I34=1,WorkSheet!$AF$35,CONCATENATE(WorkSheet!$AF$35&amp;"D"&amp;I34))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IF(V34=1,WorkSheet!$AF$35,CONCATENATE(WorkSheet!$AF$35&amp;"D"&amp;V34))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IF(樣品清單!AT$18="","--",樣品清單!AT$18)</f>
        <v>--</v>
      </c>
      <c r="C35" s="648"/>
      <c r="D35" s="554" t="str">
        <f ca="1">IFERROR(IF(INDEX(測試方法!$A$1:$AZ$98,MATCH(sample16!$D$5,測試方法!$A$1:$A$98,0),MATCH(sample16!B35,測試方法!$A$2:$AZ$2,0))&lt;&gt;"",INDEX(測試方法!$A$1:$AZ$98,MATCH(sample16!$D$5,測試方法!$A$1:$A$98,0),MATCH(sample16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IF(I35=1,WorkSheet!$AF$35,CONCATENATE(WorkSheet!$AF$35&amp;"D"&amp;I35))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IF(V35=1,WorkSheet!$AF$35,CONCATENATE(WorkSheet!$AF$35&amp;"D"&amp;V35))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IF(樣品清單!AU$18="","--",樣品清單!AU$18)</f>
        <v>--</v>
      </c>
      <c r="C36" s="646"/>
      <c r="D36" s="542" t="str">
        <f ca="1">IFERROR(IF(INDEX(測試方法!$A$1:$AZ$98,MATCH(sample16!$D$5,測試方法!$A$1:$A$98,0),MATCH(sample16!B36,測試方法!$A$2:$AZ$2,0))&lt;&gt;"",INDEX(測試方法!$A$1:$AZ$98,MATCH(sample16!$D$5,測試方法!$A$1:$A$98,0),MATCH(sample16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IF(I36=1,WorkSheet!$AF$35,CONCATENATE(WorkSheet!$AF$35&amp;"D"&amp;I36))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IF(V36=1,WorkSheet!$AF$35,CONCATENATE(WorkSheet!$AF$35&amp;"D"&amp;V36))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G40" s="1" t="str">
        <f ca="1">IF(樣品清單!AD$18="","--",樣品清單!AD$18)</f>
        <v>--</v>
      </c>
      <c r="AH40" s="1" t="str">
        <f ca="1">IF(樣品清單!AE$18="","--",樣品清單!AE$18)</f>
        <v>--</v>
      </c>
      <c r="AI40" s="1" t="str">
        <f ca="1">IF(樣品清單!AF$18="","--",樣品清單!AF$18)</f>
        <v>--</v>
      </c>
      <c r="AJ40" s="1" t="str">
        <f ca="1">IF(樣品清單!AG$18="","--",樣品清單!AG$18)</f>
        <v>--</v>
      </c>
      <c r="AK40" s="1" t="str">
        <f ca="1">IF(樣品清單!AH$18="","--",樣品清單!AH$18)</f>
        <v>--</v>
      </c>
      <c r="AL40" s="1" t="str">
        <f ca="1">IF(樣品清單!AI$18="","--",樣品清單!AI$18)</f>
        <v>--</v>
      </c>
      <c r="AM40" s="1" t="str">
        <f ca="1">IF(樣品清單!AJ$18="","--",樣品清單!AJ$18)</f>
        <v>--</v>
      </c>
      <c r="AN40" s="1" t="str">
        <f ca="1">IF(樣品清單!AK$18="","--",樣品清單!AK$18)</f>
        <v>--</v>
      </c>
      <c r="AO40" s="1" t="str">
        <f ca="1">IF(樣品清單!AL$18="","--",樣品清單!AL$18)</f>
        <v>--</v>
      </c>
      <c r="AP40" s="1" t="str">
        <f ca="1">IF(樣品清單!AM$18="","--",樣品清單!AM$18)</f>
        <v>--</v>
      </c>
      <c r="AQ40" s="1" t="str">
        <f ca="1">IF(樣品清單!AN$18="","--",樣品清單!AN$18)</f>
        <v>--</v>
      </c>
      <c r="AR40" s="1" t="str">
        <f ca="1">IF(樣品清單!AO$18="","--",樣品清單!AO$18)</f>
        <v>--</v>
      </c>
      <c r="AS40" s="1" t="str">
        <f ca="1">IF(樣品清單!AP$18="","--",樣品清單!AP$18)</f>
        <v>--</v>
      </c>
      <c r="AT40" s="1" t="str">
        <f ca="1">IF(樣品清單!AQ$18="","--",樣品清單!AQ$18)</f>
        <v>--</v>
      </c>
      <c r="AU40" s="1" t="str">
        <f ca="1">IF(樣品清單!AR$18="","--",樣品清單!AR$18)</f>
        <v>--</v>
      </c>
      <c r="AV40" s="1" t="str">
        <f ca="1">IF(樣品清單!AS$18="","--",樣品清單!AS$18)</f>
        <v>--</v>
      </c>
      <c r="AW40" s="1" t="str">
        <f ca="1">IF(樣品清單!AT$18="","--",樣品清單!AT$18)</f>
        <v>--</v>
      </c>
      <c r="AX40" s="1" t="str">
        <f ca="1">IF(樣品清單!AU$18="","--",樣品清單!AU$18)</f>
        <v>--</v>
      </c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1500-000000000000}">
      <formula1>$AG$4:$AG$5</formula1>
    </dataValidation>
    <dataValidation type="list" allowBlank="1" showInputMessage="1" showErrorMessage="1" sqref="L12" xr:uid="{00000000-0002-0000-1500-000001000000}">
      <formula1>$AG$4:$AG$7</formula1>
    </dataValidation>
    <dataValidation type="list" allowBlank="1" showInputMessage="1" showErrorMessage="1" sqref="U44" xr:uid="{00000000-0002-0000-1500-000002000000}">
      <formula1>$AF$4:$AF$5</formula1>
    </dataValidation>
  </dataValidations>
  <hyperlinks>
    <hyperlink ref="AF1" location="WorkSheet!A1" display="批次表" xr:uid="{00000000-0004-0000-1500-000000000000}"/>
    <hyperlink ref="AF2" location="樣品清單!A1" display="樣品清單" xr:uid="{00000000-0004-0000-15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WorkSheet!C36&amp;WorkSheet!G36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IFERROR(INDEX(samplename,MATCH(WorkSheet!C36,Job_No,0)),"--")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IF(樣品清單!AD$19="","--",樣品清單!AD$19)</f>
        <v>--</v>
      </c>
      <c r="C19" s="651"/>
      <c r="D19" s="575" t="str">
        <f ca="1">IFERROR(IF(INDEX(測試方法!$A$1:$AZ$98,MATCH(sample17!$D$5,測試方法!$A$1:$A$98,0),MATCH(sample17!B19,測試方法!$A$2:$AZ$2,0))&lt;&gt;"",INDEX(測試方法!$A$1:$AZ$98,MATCH(sample17!$D$5,測試方法!$A$1:$A$98,0),MATCH(sample17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IF(I19=1,WorkSheet!$AF$36,CONCATENATE(WorkSheet!$AF$36&amp;"D"&amp;I19))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IF(V19=1,WorkSheet!$AF$36,CONCATENATE(WorkSheet!$AF$36&amp;"D"&amp;V19))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IF(樣品清單!AE$19="","--",樣品清單!AE$19)</f>
        <v>--</v>
      </c>
      <c r="C20" s="648"/>
      <c r="D20" s="554" t="str">
        <f ca="1">IFERROR(IF(INDEX(測試方法!$A$1:$AZ$98,MATCH(sample17!$D$5,測試方法!$A$1:$A$98,0),MATCH(sample17!B20,測試方法!$A$2:$AZ$2,0))&lt;&gt;"",INDEX(測試方法!$A$1:$AZ$98,MATCH(sample17!$D$5,測試方法!$A$1:$A$98,0),MATCH(sample17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IF(I20=1,WorkSheet!$AF$36,CONCATENATE(WorkSheet!$AF$36&amp;"D"&amp;I20))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IF(V20=1,WorkSheet!$AF$36,CONCATENATE(WorkSheet!$AF$36&amp;"D"&amp;V20))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IF(樣品清單!AF$19="","--",樣品清單!AF$19)</f>
        <v>--</v>
      </c>
      <c r="C21" s="648"/>
      <c r="D21" s="554" t="str">
        <f ca="1">IFERROR(IF(INDEX(測試方法!$A$1:$AZ$98,MATCH(sample17!$D$5,測試方法!$A$1:$A$98,0),MATCH(sample17!B21,測試方法!$A$2:$AZ$2,0))&lt;&gt;"",INDEX(測試方法!$A$1:$AZ$98,MATCH(sample17!$D$5,測試方法!$A$1:$A$98,0),MATCH(sample17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IF(I21=1,WorkSheet!$AF$36,CONCATENATE(WorkSheet!$AF$36&amp;"D"&amp;I21))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IF(V21=1,WorkSheet!$AF$36,CONCATENATE(WorkSheet!$AF$36&amp;"D"&amp;V21))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IF(樣品清單!AG$19="","--",樣品清單!AG$19)</f>
        <v>--</v>
      </c>
      <c r="C22" s="648"/>
      <c r="D22" s="554" t="str">
        <f ca="1">IFERROR(IF(INDEX(測試方法!$A$1:$AZ$98,MATCH(sample17!$D$5,測試方法!$A$1:$A$98,0),MATCH(sample17!B22,測試方法!$A$2:$AZ$2,0))&lt;&gt;"",INDEX(測試方法!$A$1:$AZ$98,MATCH(sample17!$D$5,測試方法!$A$1:$A$98,0),MATCH(sample17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IF(I22=1,WorkSheet!$AF$36,CONCATENATE(WorkSheet!$AF$36&amp;"D"&amp;I22))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IF(V22=1,WorkSheet!$AF$36,CONCATENATE(WorkSheet!$AF$36&amp;"D"&amp;V22))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IF(樣品清單!AH$19="","--",樣品清單!AH$19)</f>
        <v>--</v>
      </c>
      <c r="C23" s="648"/>
      <c r="D23" s="554" t="str">
        <f ca="1">IFERROR(IF(INDEX(測試方法!$A$1:$AZ$98,MATCH(sample17!$D$5,測試方法!$A$1:$A$98,0),MATCH(sample17!B23,測試方法!$A$2:$AZ$2,0))&lt;&gt;"",INDEX(測試方法!$A$1:$AZ$98,MATCH(sample17!$D$5,測試方法!$A$1:$A$98,0),MATCH(sample17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IF(I23=1,WorkSheet!$AF$36,CONCATENATE(WorkSheet!$AF$36&amp;"D"&amp;I23))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IF(V23=1,WorkSheet!$AF$36,CONCATENATE(WorkSheet!$AF$36&amp;"D"&amp;V23))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IF(樣品清單!AI$19="","--",樣品清單!AI$19)</f>
        <v>--</v>
      </c>
      <c r="C24" s="648"/>
      <c r="D24" s="554" t="str">
        <f ca="1">IFERROR(IF(INDEX(測試方法!$A$1:$AZ$98,MATCH(sample17!$D$5,測試方法!$A$1:$A$98,0),MATCH(sample17!B24,測試方法!$A$2:$AZ$2,0))&lt;&gt;"",INDEX(測試方法!$A$1:$AZ$98,MATCH(sample17!$D$5,測試方法!$A$1:$A$98,0),MATCH(sample17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IF(I24=1,WorkSheet!$AF$36,CONCATENATE(WorkSheet!$AF$36&amp;"D"&amp;I24))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IF(V24=1,WorkSheet!$AF$36,CONCATENATE(WorkSheet!$AF$36&amp;"D"&amp;V24))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IF(樣品清單!AJ$19="","--",樣品清單!AJ$19)</f>
        <v>--</v>
      </c>
      <c r="C25" s="648"/>
      <c r="D25" s="554" t="str">
        <f ca="1">IFERROR(IF(INDEX(測試方法!$A$1:$AZ$98,MATCH(sample17!$D$5,測試方法!$A$1:$A$98,0),MATCH(sample17!B25,測試方法!$A$2:$AZ$2,0))&lt;&gt;"",INDEX(測試方法!$A$1:$AZ$98,MATCH(sample17!$D$5,測試方法!$A$1:$A$98,0),MATCH(sample17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IF(I25=1,WorkSheet!$AF$36,CONCATENATE(WorkSheet!$AF$36&amp;"D"&amp;I25))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IF(V25=1,WorkSheet!$AF$36,CONCATENATE(WorkSheet!$AF$36&amp;"D"&amp;V25))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IF(樣品清單!AK$19="","--",樣品清單!AK$19)</f>
        <v>--</v>
      </c>
      <c r="C26" s="648"/>
      <c r="D26" s="554" t="str">
        <f ca="1">IFERROR(IF(INDEX(測試方法!$A$1:$AZ$98,MATCH(sample17!$D$5,測試方法!$A$1:$A$98,0),MATCH(sample17!B26,測試方法!$A$2:$AZ$2,0))&lt;&gt;"",INDEX(測試方法!$A$1:$AZ$98,MATCH(sample17!$D$5,測試方法!$A$1:$A$98,0),MATCH(sample17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IF(I26=1,WorkSheet!$AF$36,CONCATENATE(WorkSheet!$AF$36&amp;"D"&amp;I26))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IF(V26=1,WorkSheet!$AF$36,CONCATENATE(WorkSheet!$AF$36&amp;"D"&amp;V26))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IF(樣品清單!AL$19="","--",樣品清單!AL$19)</f>
        <v>--</v>
      </c>
      <c r="C27" s="648"/>
      <c r="D27" s="554" t="str">
        <f ca="1">IFERROR(IF(INDEX(測試方法!$A$1:$AZ$98,MATCH(sample17!$D$5,測試方法!$A$1:$A$98,0),MATCH(sample17!B27,測試方法!$A$2:$AZ$2,0))&lt;&gt;"",INDEX(測試方法!$A$1:$AZ$98,MATCH(sample17!$D$5,測試方法!$A$1:$A$98,0),MATCH(sample17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IF(I27=1,WorkSheet!$AF$36,CONCATENATE(WorkSheet!$AF$36&amp;"D"&amp;I27))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IF(V27=1,WorkSheet!$AF$36,CONCATENATE(WorkSheet!$AF$36&amp;"D"&amp;V27))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IF(樣品清單!AM$19="","--",樣品清單!AM$19)</f>
        <v>--</v>
      </c>
      <c r="C28" s="648"/>
      <c r="D28" s="554" t="str">
        <f ca="1">IFERROR(IF(INDEX(測試方法!$A$1:$AZ$98,MATCH(sample17!$D$5,測試方法!$A$1:$A$98,0),MATCH(sample17!B28,測試方法!$A$2:$AZ$2,0))&lt;&gt;"",INDEX(測試方法!$A$1:$AZ$98,MATCH(sample17!$D$5,測試方法!$A$1:$A$98,0),MATCH(sample17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IF(I28=1,WorkSheet!$AF$36,CONCATENATE(WorkSheet!$AF$36&amp;"D"&amp;I28))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IF(V28=1,WorkSheet!$AF$36,CONCATENATE(WorkSheet!$AF$36&amp;"D"&amp;V28))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IF(樣品清單!AN$19="","--",樣品清單!AN$19)</f>
        <v>--</v>
      </c>
      <c r="C29" s="648"/>
      <c r="D29" s="554" t="str">
        <f ca="1">IFERROR(IF(INDEX(測試方法!$A$1:$AZ$98,MATCH(sample17!$D$5,測試方法!$A$1:$A$98,0),MATCH(sample17!B29,測試方法!$A$2:$AZ$2,0))&lt;&gt;"",INDEX(測試方法!$A$1:$AZ$98,MATCH(sample17!$D$5,測試方法!$A$1:$A$98,0),MATCH(sample17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IF(I29=1,WorkSheet!$AF$36,CONCATENATE(WorkSheet!$AF$36&amp;"D"&amp;I29))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IF(V29=1,WorkSheet!$AF$36,CONCATENATE(WorkSheet!$AF$36&amp;"D"&amp;V29))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IF(樣品清單!AO$19="","--",樣品清單!AO$19)</f>
        <v>--</v>
      </c>
      <c r="C30" s="648"/>
      <c r="D30" s="554" t="str">
        <f ca="1">IFERROR(IF(INDEX(測試方法!$A$1:$AZ$98,MATCH(sample17!$D$5,測試方法!$A$1:$A$98,0),MATCH(sample17!B30,測試方法!$A$2:$AZ$2,0))&lt;&gt;"",INDEX(測試方法!$A$1:$AZ$98,MATCH(sample17!$D$5,測試方法!$A$1:$A$98,0),MATCH(sample17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IF(I30=1,WorkSheet!$AF$36,CONCATENATE(WorkSheet!$AF$36&amp;"D"&amp;I30))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IF(V30=1,WorkSheet!$AF$36,CONCATENATE(WorkSheet!$AF$36&amp;"D"&amp;V30))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IF(樣品清單!AP$19="","--",樣品清單!AP$19)</f>
        <v>--</v>
      </c>
      <c r="C31" s="648"/>
      <c r="D31" s="554" t="str">
        <f ca="1">IFERROR(IF(INDEX(測試方法!$A$1:$AZ$98,MATCH(sample17!$D$5,測試方法!$A$1:$A$98,0),MATCH(sample17!B31,測試方法!$A$2:$AZ$2,0))&lt;&gt;"",INDEX(測試方法!$A$1:$AZ$98,MATCH(sample17!$D$5,測試方法!$A$1:$A$98,0),MATCH(sample17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IF(I31=1,WorkSheet!$AF$36,CONCATENATE(WorkSheet!$AF$36&amp;"D"&amp;I31))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IF(V31=1,WorkSheet!$AF$36,CONCATENATE(WorkSheet!$AF$36&amp;"D"&amp;V31))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IF(樣品清單!AQ$19="","--",樣品清單!AQ$19)</f>
        <v>--</v>
      </c>
      <c r="C32" s="648"/>
      <c r="D32" s="554" t="str">
        <f ca="1">IFERROR(IF(INDEX(測試方法!$A$1:$AZ$98,MATCH(sample17!$D$5,測試方法!$A$1:$A$98,0),MATCH(sample17!B32,測試方法!$A$2:$AZ$2,0))&lt;&gt;"",INDEX(測試方法!$A$1:$AZ$98,MATCH(sample17!$D$5,測試方法!$A$1:$A$98,0),MATCH(sample17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IF(I32=1,WorkSheet!$AF$36,CONCATENATE(WorkSheet!$AF$36&amp;"D"&amp;I32))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IF(V32=1,WorkSheet!$AF$36,CONCATENATE(WorkSheet!$AF$36&amp;"D"&amp;V32))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IF(樣品清單!AR$19="","--",樣品清單!AR$19)</f>
        <v>--</v>
      </c>
      <c r="C33" s="648"/>
      <c r="D33" s="554" t="str">
        <f ca="1">IFERROR(IF(INDEX(測試方法!$A$1:$AZ$98,MATCH(sample17!$D$5,測試方法!$A$1:$A$98,0),MATCH(sample17!B33,測試方法!$A$2:$AZ$2,0))&lt;&gt;"",INDEX(測試方法!$A$1:$AZ$98,MATCH(sample17!$D$5,測試方法!$A$1:$A$98,0),MATCH(sample17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IF(I33=1,WorkSheet!$AF$36,CONCATENATE(WorkSheet!$AF$36&amp;"D"&amp;I33))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IF(V33=1,WorkSheet!$AF$36,CONCATENATE(WorkSheet!$AF$36&amp;"D"&amp;V33))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IF(樣品清單!AS$19="","--",樣品清單!AS$19)</f>
        <v>--</v>
      </c>
      <c r="C34" s="648"/>
      <c r="D34" s="554" t="str">
        <f ca="1">IFERROR(IF(INDEX(測試方法!$A$1:$AZ$98,MATCH(sample17!$D$5,測試方法!$A$1:$A$98,0),MATCH(sample17!B34,測試方法!$A$2:$AZ$2,0))&lt;&gt;"",INDEX(測試方法!$A$1:$AZ$98,MATCH(sample17!$D$5,測試方法!$A$1:$A$98,0),MATCH(sample17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IF(I34=1,WorkSheet!$AF$36,CONCATENATE(WorkSheet!$AF$36&amp;"D"&amp;I34))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IF(V34=1,WorkSheet!$AF$36,CONCATENATE(WorkSheet!$AF$36&amp;"D"&amp;V34))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IF(樣品清單!AT$19="","--",樣品清單!AT$19)</f>
        <v>--</v>
      </c>
      <c r="C35" s="648"/>
      <c r="D35" s="554" t="str">
        <f ca="1">IFERROR(IF(INDEX(測試方法!$A$1:$AZ$98,MATCH(sample17!$D$5,測試方法!$A$1:$A$98,0),MATCH(sample17!B35,測試方法!$A$2:$AZ$2,0))&lt;&gt;"",INDEX(測試方法!$A$1:$AZ$98,MATCH(sample17!$D$5,測試方法!$A$1:$A$98,0),MATCH(sample17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IF(I35=1,WorkSheet!$AF$36,CONCATENATE(WorkSheet!$AF$36&amp;"D"&amp;I35))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IF(V35=1,WorkSheet!$AF$36,CONCATENATE(WorkSheet!$AF$36&amp;"D"&amp;V35))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IF(樣品清單!AU$19="","--",樣品清單!AU$19)</f>
        <v>--</v>
      </c>
      <c r="C36" s="646"/>
      <c r="D36" s="542" t="str">
        <f ca="1">IFERROR(IF(INDEX(測試方法!$A$1:$AZ$98,MATCH(sample17!$D$5,測試方法!$A$1:$A$98,0),MATCH(sample17!B36,測試方法!$A$2:$AZ$2,0))&lt;&gt;"",INDEX(測試方法!$A$1:$AZ$98,MATCH(sample17!$D$5,測試方法!$A$1:$A$98,0),MATCH(sample17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IF(I36=1,WorkSheet!$AF$36,CONCATENATE(WorkSheet!$AF$36&amp;"D"&amp;I36))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IF(V36=1,WorkSheet!$AF$36,CONCATENATE(WorkSheet!$AF$36&amp;"D"&amp;V36))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L12" xr:uid="{00000000-0002-0000-16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1600-000001000000}">
      <formula1>$AG$4:$AG$5</formula1>
    </dataValidation>
    <dataValidation type="list" allowBlank="1" showInputMessage="1" showErrorMessage="1" sqref="U44" xr:uid="{00000000-0002-0000-1600-000002000000}">
      <formula1>$AF$4:$AF$5</formula1>
    </dataValidation>
  </dataValidations>
  <hyperlinks>
    <hyperlink ref="AF1" location="WorkSheet!A1" display="批次表" xr:uid="{00000000-0004-0000-1600-000000000000}"/>
    <hyperlink ref="AF2" location="樣品清單!A1" display="樣品清單" xr:uid="{00000000-0004-0000-16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WorkSheet!C37&amp;WorkSheet!G37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IFERROR(INDEX(samplename,MATCH(WorkSheet!C37,Job_No,0)),"--")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IF(樣品清單!AD$20="","--",樣品清單!AD$20)</f>
        <v>--</v>
      </c>
      <c r="C19" s="651"/>
      <c r="D19" s="575" t="str">
        <f ca="1">IFERROR(IF(INDEX(測試方法!$A$1:$AZ$98,MATCH(sample18!$D$5,測試方法!$A$1:$A$98,0),MATCH(sample18!B19,測試方法!$A$2:$AZ$2,0))&lt;&gt;"",INDEX(測試方法!$A$1:$AZ$98,MATCH(sample18!$D$5,測試方法!$A$1:$A$98,0),MATCH(sample18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IF(I19=1,WorkSheet!$AF$37,CONCATENATE(WorkSheet!$AF$37&amp;"D"&amp;I19))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IF(V19=1,WorkSheet!$AF$37,CONCATENATE(WorkSheet!$AF$37&amp;"D"&amp;V19))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IF(樣品清單!AE$20="","--",樣品清單!AE$20)</f>
        <v>--</v>
      </c>
      <c r="C20" s="648"/>
      <c r="D20" s="554" t="str">
        <f ca="1">IFERROR(IF(INDEX(測試方法!$A$1:$AZ$98,MATCH(sample18!$D$5,測試方法!$A$1:$A$98,0),MATCH(sample18!B20,測試方法!$A$2:$AZ$2,0))&lt;&gt;"",INDEX(測試方法!$A$1:$AZ$98,MATCH(sample18!$D$5,測試方法!$A$1:$A$98,0),MATCH(sample18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IF(I20=1,WorkSheet!$AF$37,CONCATENATE(WorkSheet!$AF$37&amp;"D"&amp;I20))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IF(V20=1,WorkSheet!$AF$37,CONCATENATE(WorkSheet!$AF$37&amp;"D"&amp;V20))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IF(樣品清單!AF$20="","--",樣品清單!AF$20)</f>
        <v>--</v>
      </c>
      <c r="C21" s="648"/>
      <c r="D21" s="554" t="str">
        <f ca="1">IFERROR(IF(INDEX(測試方法!$A$1:$AZ$98,MATCH(sample18!$D$5,測試方法!$A$1:$A$98,0),MATCH(sample18!B21,測試方法!$A$2:$AZ$2,0))&lt;&gt;"",INDEX(測試方法!$A$1:$AZ$98,MATCH(sample18!$D$5,測試方法!$A$1:$A$98,0),MATCH(sample18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IF(I21=1,WorkSheet!$AF$37,CONCATENATE(WorkSheet!$AF$37&amp;"D"&amp;I21))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IF(V21=1,WorkSheet!$AF$37,CONCATENATE(WorkSheet!$AF$37&amp;"D"&amp;V21))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IF(樣品清單!AG$20="","--",樣品清單!AG$20)</f>
        <v>--</v>
      </c>
      <c r="C22" s="648"/>
      <c r="D22" s="554" t="str">
        <f ca="1">IFERROR(IF(INDEX(測試方法!$A$1:$AZ$98,MATCH(sample18!$D$5,測試方法!$A$1:$A$98,0),MATCH(sample18!B22,測試方法!$A$2:$AZ$2,0))&lt;&gt;"",INDEX(測試方法!$A$1:$AZ$98,MATCH(sample18!$D$5,測試方法!$A$1:$A$98,0),MATCH(sample18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IF(I22=1,WorkSheet!$AF$37,CONCATENATE(WorkSheet!$AF$37&amp;"D"&amp;I22))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IF(V22=1,WorkSheet!$AF$37,CONCATENATE(WorkSheet!$AF$37&amp;"D"&amp;V22))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IF(樣品清單!AH$20="","--",樣品清單!AH$20)</f>
        <v>--</v>
      </c>
      <c r="C23" s="648"/>
      <c r="D23" s="554" t="str">
        <f ca="1">IFERROR(IF(INDEX(測試方法!$A$1:$AZ$98,MATCH(sample18!$D$5,測試方法!$A$1:$A$98,0),MATCH(sample18!B23,測試方法!$A$2:$AZ$2,0))&lt;&gt;"",INDEX(測試方法!$A$1:$AZ$98,MATCH(sample18!$D$5,測試方法!$A$1:$A$98,0),MATCH(sample18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IF(I23=1,WorkSheet!$AF$37,CONCATENATE(WorkSheet!$AF$37&amp;"D"&amp;I23))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IF(V23=1,WorkSheet!$AF$37,CONCATENATE(WorkSheet!$AF$37&amp;"D"&amp;V23))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IF(樣品清單!AI$20="","--",樣品清單!AI$20)</f>
        <v>--</v>
      </c>
      <c r="C24" s="648"/>
      <c r="D24" s="554" t="str">
        <f ca="1">IFERROR(IF(INDEX(測試方法!$A$1:$AZ$98,MATCH(sample18!$D$5,測試方法!$A$1:$A$98,0),MATCH(sample18!B24,測試方法!$A$2:$AZ$2,0))&lt;&gt;"",INDEX(測試方法!$A$1:$AZ$98,MATCH(sample18!$D$5,測試方法!$A$1:$A$98,0),MATCH(sample18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IF(I24=1,WorkSheet!$AF$37,CONCATENATE(WorkSheet!$AF$37&amp;"D"&amp;I24))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IF(V24=1,WorkSheet!$AF$37,CONCATENATE(WorkSheet!$AF$37&amp;"D"&amp;V24))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IF(樣品清單!AJ$20="","--",樣品清單!AJ$20)</f>
        <v>--</v>
      </c>
      <c r="C25" s="648"/>
      <c r="D25" s="554" t="str">
        <f ca="1">IFERROR(IF(INDEX(測試方法!$A$1:$AZ$98,MATCH(sample18!$D$5,測試方法!$A$1:$A$98,0),MATCH(sample18!B25,測試方法!$A$2:$AZ$2,0))&lt;&gt;"",INDEX(測試方法!$A$1:$AZ$98,MATCH(sample18!$D$5,測試方法!$A$1:$A$98,0),MATCH(sample18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IF(I25=1,WorkSheet!$AF$37,CONCATENATE(WorkSheet!$AF$37&amp;"D"&amp;I25))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IF(V25=1,WorkSheet!$AF$37,CONCATENATE(WorkSheet!$AF$37&amp;"D"&amp;V25))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IF(樣品清單!AK$20="","--",樣品清單!AK$20)</f>
        <v>--</v>
      </c>
      <c r="C26" s="648"/>
      <c r="D26" s="554" t="str">
        <f ca="1">IFERROR(IF(INDEX(測試方法!$A$1:$AZ$98,MATCH(sample18!$D$5,測試方法!$A$1:$A$98,0),MATCH(sample18!B26,測試方法!$A$2:$AZ$2,0))&lt;&gt;"",INDEX(測試方法!$A$1:$AZ$98,MATCH(sample18!$D$5,測試方法!$A$1:$A$98,0),MATCH(sample18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IF(I26=1,WorkSheet!$AF$37,CONCATENATE(WorkSheet!$AF$37&amp;"D"&amp;I26))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IF(V26=1,WorkSheet!$AF$37,CONCATENATE(WorkSheet!$AF$37&amp;"D"&amp;V26))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IF(樣品清單!AL$20="","--",樣品清單!AL$20)</f>
        <v>--</v>
      </c>
      <c r="C27" s="648"/>
      <c r="D27" s="554" t="str">
        <f ca="1">IFERROR(IF(INDEX(測試方法!$A$1:$AZ$98,MATCH(sample18!$D$5,測試方法!$A$1:$A$98,0),MATCH(sample18!B27,測試方法!$A$2:$AZ$2,0))&lt;&gt;"",INDEX(測試方法!$A$1:$AZ$98,MATCH(sample18!$D$5,測試方法!$A$1:$A$98,0),MATCH(sample18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IF(I27=1,WorkSheet!$AF$37,CONCATENATE(WorkSheet!$AF$37&amp;"D"&amp;I27))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IF(V27=1,WorkSheet!$AF$37,CONCATENATE(WorkSheet!$AF$37&amp;"D"&amp;V27))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IF(樣品清單!AM$20="","--",樣品清單!AM$20)</f>
        <v>--</v>
      </c>
      <c r="C28" s="648"/>
      <c r="D28" s="554" t="str">
        <f ca="1">IFERROR(IF(INDEX(測試方法!$A$1:$AZ$98,MATCH(sample18!$D$5,測試方法!$A$1:$A$98,0),MATCH(sample18!B28,測試方法!$A$2:$AZ$2,0))&lt;&gt;"",INDEX(測試方法!$A$1:$AZ$98,MATCH(sample18!$D$5,測試方法!$A$1:$A$98,0),MATCH(sample18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IF(I28=1,WorkSheet!$AF$37,CONCATENATE(WorkSheet!$AF$37&amp;"D"&amp;I28))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IF(V28=1,WorkSheet!$AF$37,CONCATENATE(WorkSheet!$AF$37&amp;"D"&amp;V28))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IF(樣品清單!AN$20="","--",樣品清單!AN$20)</f>
        <v>--</v>
      </c>
      <c r="C29" s="648"/>
      <c r="D29" s="554" t="str">
        <f ca="1">IFERROR(IF(INDEX(測試方法!$A$1:$AZ$98,MATCH(sample18!$D$5,測試方法!$A$1:$A$98,0),MATCH(sample18!B29,測試方法!$A$2:$AZ$2,0))&lt;&gt;"",INDEX(測試方法!$A$1:$AZ$98,MATCH(sample18!$D$5,測試方法!$A$1:$A$98,0),MATCH(sample18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IF(I29=1,WorkSheet!$AF$37,CONCATENATE(WorkSheet!$AF$37&amp;"D"&amp;I29))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IF(V29=1,WorkSheet!$AF$37,CONCATENATE(WorkSheet!$AF$37&amp;"D"&amp;V29))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IF(樣品清單!AO$20="","--",樣品清單!AO$20)</f>
        <v>--</v>
      </c>
      <c r="C30" s="648"/>
      <c r="D30" s="554" t="str">
        <f ca="1">IFERROR(IF(INDEX(測試方法!$A$1:$AZ$98,MATCH(sample18!$D$5,測試方法!$A$1:$A$98,0),MATCH(sample18!B30,測試方法!$A$2:$AZ$2,0))&lt;&gt;"",INDEX(測試方法!$A$1:$AZ$98,MATCH(sample18!$D$5,測試方法!$A$1:$A$98,0),MATCH(sample18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IF(I30=1,WorkSheet!$AF$37,CONCATENATE(WorkSheet!$AF$37&amp;"D"&amp;I30))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IF(V30=1,WorkSheet!$AF$37,CONCATENATE(WorkSheet!$AF$37&amp;"D"&amp;V30))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IF(樣品清單!AP$20="","--",樣品清單!AP$20)</f>
        <v>--</v>
      </c>
      <c r="C31" s="648"/>
      <c r="D31" s="554" t="str">
        <f ca="1">IFERROR(IF(INDEX(測試方法!$A$1:$AZ$98,MATCH(sample18!$D$5,測試方法!$A$1:$A$98,0),MATCH(sample18!B31,測試方法!$A$2:$AZ$2,0))&lt;&gt;"",INDEX(測試方法!$A$1:$AZ$98,MATCH(sample18!$D$5,測試方法!$A$1:$A$98,0),MATCH(sample18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IF(I31=1,WorkSheet!$AF$37,CONCATENATE(WorkSheet!$AF$37&amp;"D"&amp;I31))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IF(V31=1,WorkSheet!$AF$37,CONCATENATE(WorkSheet!$AF$37&amp;"D"&amp;V31))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IF(樣品清單!AQ$20="","--",樣品清單!AQ$20)</f>
        <v>--</v>
      </c>
      <c r="C32" s="648"/>
      <c r="D32" s="554" t="str">
        <f ca="1">IFERROR(IF(INDEX(測試方法!$A$1:$AZ$98,MATCH(sample18!$D$5,測試方法!$A$1:$A$98,0),MATCH(sample18!B32,測試方法!$A$2:$AZ$2,0))&lt;&gt;"",INDEX(測試方法!$A$1:$AZ$98,MATCH(sample18!$D$5,測試方法!$A$1:$A$98,0),MATCH(sample18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IF(I32=1,WorkSheet!$AF$37,CONCATENATE(WorkSheet!$AF$37&amp;"D"&amp;I32))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IF(V32=1,WorkSheet!$AF$37,CONCATENATE(WorkSheet!$AF$37&amp;"D"&amp;V32))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IF(樣品清單!AR$20="","--",樣品清單!AR$20)</f>
        <v>--</v>
      </c>
      <c r="C33" s="648"/>
      <c r="D33" s="554" t="str">
        <f ca="1">IFERROR(IF(INDEX(測試方法!$A$1:$AZ$98,MATCH(sample18!$D$5,測試方法!$A$1:$A$98,0),MATCH(sample18!B33,測試方法!$A$2:$AZ$2,0))&lt;&gt;"",INDEX(測試方法!$A$1:$AZ$98,MATCH(sample18!$D$5,測試方法!$A$1:$A$98,0),MATCH(sample18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IF(I33=1,WorkSheet!$AF$37,CONCATENATE(WorkSheet!$AF$37&amp;"D"&amp;I33))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IF(V33=1,WorkSheet!$AF$37,CONCATENATE(WorkSheet!$AF$37&amp;"D"&amp;V33))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IF(樣品清單!AS$20="","--",樣品清單!AS$20)</f>
        <v>--</v>
      </c>
      <c r="C34" s="648"/>
      <c r="D34" s="554" t="str">
        <f ca="1">IFERROR(IF(INDEX(測試方法!$A$1:$AZ$98,MATCH(sample18!$D$5,測試方法!$A$1:$A$98,0),MATCH(sample18!B34,測試方法!$A$2:$AZ$2,0))&lt;&gt;"",INDEX(測試方法!$A$1:$AZ$98,MATCH(sample18!$D$5,測試方法!$A$1:$A$98,0),MATCH(sample18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IF(I34=1,WorkSheet!$AF$37,CONCATENATE(WorkSheet!$AF$37&amp;"D"&amp;I34))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IF(V34=1,WorkSheet!$AF$37,CONCATENATE(WorkSheet!$AF$37&amp;"D"&amp;V34))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IF(樣品清單!AT$20="","--",樣品清單!AT$20)</f>
        <v>--</v>
      </c>
      <c r="C35" s="648"/>
      <c r="D35" s="554" t="str">
        <f ca="1">IFERROR(IF(INDEX(測試方法!$A$1:$AZ$98,MATCH(sample18!$D$5,測試方法!$A$1:$A$98,0),MATCH(sample18!B35,測試方法!$A$2:$AZ$2,0))&lt;&gt;"",INDEX(測試方法!$A$1:$AZ$98,MATCH(sample18!$D$5,測試方法!$A$1:$A$98,0),MATCH(sample18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IF(I35=1,WorkSheet!$AF$37,CONCATENATE(WorkSheet!$AF$37&amp;"D"&amp;I35))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IF(V35=1,WorkSheet!$AF$37,CONCATENATE(WorkSheet!$AF$37&amp;"D"&amp;V35))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IF(樣品清單!AU$20="","--",樣品清單!AU$20)</f>
        <v>--</v>
      </c>
      <c r="C36" s="646"/>
      <c r="D36" s="542" t="str">
        <f ca="1">IFERROR(IF(INDEX(測試方法!$A$1:$AZ$98,MATCH(sample18!$D$5,測試方法!$A$1:$A$98,0),MATCH(sample18!B36,測試方法!$A$2:$AZ$2,0))&lt;&gt;"",INDEX(測試方法!$A$1:$AZ$98,MATCH(sample18!$D$5,測試方法!$A$1:$A$98,0),MATCH(sample18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IF(I36=1,WorkSheet!$AF$37,CONCATENATE(WorkSheet!$AF$37&amp;"D"&amp;I36))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IF(V36=1,WorkSheet!$AF$37,CONCATENATE(WorkSheet!$AF$37&amp;"D"&amp;V36))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1700-000000000000}">
      <formula1>$AG$4:$AG$5</formula1>
    </dataValidation>
    <dataValidation type="list" allowBlank="1" showInputMessage="1" showErrorMessage="1" sqref="L12" xr:uid="{00000000-0002-0000-1700-000001000000}">
      <formula1>$AG$4:$AG$7</formula1>
    </dataValidation>
    <dataValidation type="list" allowBlank="1" showInputMessage="1" showErrorMessage="1" sqref="U44" xr:uid="{00000000-0002-0000-1700-000002000000}">
      <formula1>$AF$4:$AF$5</formula1>
    </dataValidation>
  </dataValidations>
  <hyperlinks>
    <hyperlink ref="AF1" location="WorkSheet!A1" display="批次表" xr:uid="{00000000-0004-0000-1700-000000000000}"/>
    <hyperlink ref="AF2" location="樣品清單!A1" display="樣品清單" xr:uid="{00000000-0004-0000-17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BT49"/>
  <sheetViews>
    <sheetView view="pageBreakPreview" zoomScaleNormal="100" zoomScaleSheetLayoutView="100" zoomScalePageLayoutView="85" workbookViewId="0"/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WorkSheet!C38&amp;WorkSheet!G38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IFERROR(INDEX(samplename,MATCH(WorkSheet!C38,Job_No,0)),"--")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8" t="s">
        <v>444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650" t="str">
        <f ca="1">IF(樣品清單!AD$21="","--",樣品清單!AD$21)</f>
        <v>--</v>
      </c>
      <c r="C19" s="651"/>
      <c r="D19" s="575" t="str">
        <f ca="1">IFERROR(IF(INDEX(測試方法!$A$1:$AZ$98,MATCH(sample19!$D$5,測試方法!$A$1:$A$98,0),MATCH(sample19!B19,測試方法!$A$2:$AZ$2,0))&lt;&gt;"",INDEX(測試方法!$A$1:$AZ$98,MATCH(sample19!$D$5,測試方法!$A$1:$A$98,0),MATCH(sample19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IF(I19=1,WorkSheet!$AF$38,CONCATENATE(WorkSheet!$AF$38&amp;"D"&amp;I19))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IF(V19=1,WorkSheet!$AF$38,CONCATENATE(WorkSheet!$AF$38&amp;"D"&amp;V19))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647" t="str">
        <f ca="1">IF(樣品清單!AE$21="","--",樣品清單!AE$21)</f>
        <v>--</v>
      </c>
      <c r="C20" s="648"/>
      <c r="D20" s="554" t="str">
        <f ca="1">IFERROR(IF(INDEX(測試方法!$A$1:$AZ$98,MATCH(sample19!$D$5,測試方法!$A$1:$A$98,0),MATCH(sample19!B20,測試方法!$A$2:$AZ$2,0))&lt;&gt;"",INDEX(測試方法!$A$1:$AZ$98,MATCH(sample19!$D$5,測試方法!$A$1:$A$98,0),MATCH(sample19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IF(I20=1,WorkSheet!$AF$38,CONCATENATE(WorkSheet!$AF$38&amp;"D"&amp;I20))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IF(V20=1,WorkSheet!$AF$38,CONCATENATE(WorkSheet!$AF$38&amp;"D"&amp;V20))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647" t="str">
        <f ca="1">IF(樣品清單!AF$21="","--",樣品清單!AF$21)</f>
        <v>--</v>
      </c>
      <c r="C21" s="648"/>
      <c r="D21" s="554" t="str">
        <f ca="1">IFERROR(IF(INDEX(測試方法!$A$1:$AZ$98,MATCH(sample19!$D$5,測試方法!$A$1:$A$98,0),MATCH(sample19!B21,測試方法!$A$2:$AZ$2,0))&lt;&gt;"",INDEX(測試方法!$A$1:$AZ$98,MATCH(sample19!$D$5,測試方法!$A$1:$A$98,0),MATCH(sample19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IF(I21=1,WorkSheet!$AF$38,CONCATENATE(WorkSheet!$AF$38&amp;"D"&amp;I21))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IF(V21=1,WorkSheet!$AF$38,CONCATENATE(WorkSheet!$AF$38&amp;"D"&amp;V21))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647" t="str">
        <f ca="1">IF(樣品清單!AG$21="","--",樣品清單!AG$21)</f>
        <v>--</v>
      </c>
      <c r="C22" s="648"/>
      <c r="D22" s="554" t="str">
        <f ca="1">IFERROR(IF(INDEX(測試方法!$A$1:$AZ$98,MATCH(sample19!$D$5,測試方法!$A$1:$A$98,0),MATCH(sample19!B22,測試方法!$A$2:$AZ$2,0))&lt;&gt;"",INDEX(測試方法!$A$1:$AZ$98,MATCH(sample19!$D$5,測試方法!$A$1:$A$98,0),MATCH(sample19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IF(I22=1,WorkSheet!$AF$38,CONCATENATE(WorkSheet!$AF$38&amp;"D"&amp;I22))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IF(V22=1,WorkSheet!$AF$38,CONCATENATE(WorkSheet!$AF$38&amp;"D"&amp;V22))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647" t="str">
        <f ca="1">IF(樣品清單!AH$21="","--",樣品清單!AH$21)</f>
        <v>--</v>
      </c>
      <c r="C23" s="648"/>
      <c r="D23" s="554" t="str">
        <f ca="1">IFERROR(IF(INDEX(測試方法!$A$1:$AZ$98,MATCH(sample19!$D$5,測試方法!$A$1:$A$98,0),MATCH(sample19!B23,測試方法!$A$2:$AZ$2,0))&lt;&gt;"",INDEX(測試方法!$A$1:$AZ$98,MATCH(sample19!$D$5,測試方法!$A$1:$A$98,0),MATCH(sample19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IF(I23=1,WorkSheet!$AF$38,CONCATENATE(WorkSheet!$AF$38&amp;"D"&amp;I23))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IF(V23=1,WorkSheet!$AF$38,CONCATENATE(WorkSheet!$AF$38&amp;"D"&amp;V23))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647" t="str">
        <f ca="1">IF(樣品清單!AI$21="","--",樣品清單!AI$21)</f>
        <v>--</v>
      </c>
      <c r="C24" s="648"/>
      <c r="D24" s="554" t="str">
        <f ca="1">IFERROR(IF(INDEX(測試方法!$A$1:$AZ$98,MATCH(sample19!$D$5,測試方法!$A$1:$A$98,0),MATCH(sample19!B24,測試方法!$A$2:$AZ$2,0))&lt;&gt;"",INDEX(測試方法!$A$1:$AZ$98,MATCH(sample19!$D$5,測試方法!$A$1:$A$98,0),MATCH(sample19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IF(I24=1,WorkSheet!$AF$38,CONCATENATE(WorkSheet!$AF$38&amp;"D"&amp;I24))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IF(V24=1,WorkSheet!$AF$38,CONCATENATE(WorkSheet!$AF$38&amp;"D"&amp;V24))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647" t="str">
        <f ca="1">IF(樣品清單!AJ$21="","--",樣品清單!AJ$21)</f>
        <v>--</v>
      </c>
      <c r="C25" s="648"/>
      <c r="D25" s="554" t="str">
        <f ca="1">IFERROR(IF(INDEX(測試方法!$A$1:$AZ$98,MATCH(sample19!$D$5,測試方法!$A$1:$A$98,0),MATCH(sample19!B25,測試方法!$A$2:$AZ$2,0))&lt;&gt;"",INDEX(測試方法!$A$1:$AZ$98,MATCH(sample19!$D$5,測試方法!$A$1:$A$98,0),MATCH(sample19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IF(I25=1,WorkSheet!$AF$38,CONCATENATE(WorkSheet!$AF$38&amp;"D"&amp;I25))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IF(V25=1,WorkSheet!$AF$38,CONCATENATE(WorkSheet!$AF$38&amp;"D"&amp;V25))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647" t="str">
        <f ca="1">IF(樣品清單!AK$21="","--",樣品清單!AK$21)</f>
        <v>--</v>
      </c>
      <c r="C26" s="648"/>
      <c r="D26" s="554" t="str">
        <f ca="1">IFERROR(IF(INDEX(測試方法!$A$1:$AZ$98,MATCH(sample19!$D$5,測試方法!$A$1:$A$98,0),MATCH(sample19!B26,測試方法!$A$2:$AZ$2,0))&lt;&gt;"",INDEX(測試方法!$A$1:$AZ$98,MATCH(sample19!$D$5,測試方法!$A$1:$A$98,0),MATCH(sample19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IF(I26=1,WorkSheet!$AF$38,CONCATENATE(WorkSheet!$AF$38&amp;"D"&amp;I26))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IF(V26=1,WorkSheet!$AF$38,CONCATENATE(WorkSheet!$AF$38&amp;"D"&amp;V26))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647" t="str">
        <f ca="1">IF(樣品清單!AL$21="","--",樣品清單!AL$21)</f>
        <v>--</v>
      </c>
      <c r="C27" s="648"/>
      <c r="D27" s="554" t="str">
        <f ca="1">IFERROR(IF(INDEX(測試方法!$A$1:$AZ$98,MATCH(sample19!$D$5,測試方法!$A$1:$A$98,0),MATCH(sample19!B27,測試方法!$A$2:$AZ$2,0))&lt;&gt;"",INDEX(測試方法!$A$1:$AZ$98,MATCH(sample19!$D$5,測試方法!$A$1:$A$98,0),MATCH(sample19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IF(I27=1,WorkSheet!$AF$38,CONCATENATE(WorkSheet!$AF$38&amp;"D"&amp;I27))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IF(V27=1,WorkSheet!$AF$38,CONCATENATE(WorkSheet!$AF$38&amp;"D"&amp;V27))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647" t="str">
        <f ca="1">IF(樣品清單!AM$21="","--",樣品清單!AM$21)</f>
        <v>--</v>
      </c>
      <c r="C28" s="648"/>
      <c r="D28" s="554" t="str">
        <f ca="1">IFERROR(IF(INDEX(測試方法!$A$1:$AZ$98,MATCH(sample19!$D$5,測試方法!$A$1:$A$98,0),MATCH(sample19!B28,測試方法!$A$2:$AZ$2,0))&lt;&gt;"",INDEX(測試方法!$A$1:$AZ$98,MATCH(sample19!$D$5,測試方法!$A$1:$A$98,0),MATCH(sample19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IF(I28=1,WorkSheet!$AF$38,CONCATENATE(WorkSheet!$AF$38&amp;"D"&amp;I28))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IF(V28=1,WorkSheet!$AF$38,CONCATENATE(WorkSheet!$AF$38&amp;"D"&amp;V28))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647" t="str">
        <f ca="1">IF(樣品清單!AN$21="","--",樣品清單!AN$21)</f>
        <v>--</v>
      </c>
      <c r="C29" s="648"/>
      <c r="D29" s="554" t="str">
        <f ca="1">IFERROR(IF(INDEX(測試方法!$A$1:$AZ$98,MATCH(sample19!$D$5,測試方法!$A$1:$A$98,0),MATCH(sample19!B29,測試方法!$A$2:$AZ$2,0))&lt;&gt;"",INDEX(測試方法!$A$1:$AZ$98,MATCH(sample19!$D$5,測試方法!$A$1:$A$98,0),MATCH(sample19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IF(I29=1,WorkSheet!$AF$38,CONCATENATE(WorkSheet!$AF$38&amp;"D"&amp;I29))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IF(V29=1,WorkSheet!$AF$38,CONCATENATE(WorkSheet!$AF$38&amp;"D"&amp;V29))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647" t="str">
        <f ca="1">IF(樣品清單!AO$21="","--",樣品清單!AO$21)</f>
        <v>--</v>
      </c>
      <c r="C30" s="648"/>
      <c r="D30" s="554" t="str">
        <f ca="1">IFERROR(IF(INDEX(測試方法!$A$1:$AZ$98,MATCH(sample19!$D$5,測試方法!$A$1:$A$98,0),MATCH(sample19!B30,測試方法!$A$2:$AZ$2,0))&lt;&gt;"",INDEX(測試方法!$A$1:$AZ$98,MATCH(sample19!$D$5,測試方法!$A$1:$A$98,0),MATCH(sample19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IF(I30=1,WorkSheet!$AF$38,CONCATENATE(WorkSheet!$AF$38&amp;"D"&amp;I30))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IF(V30=1,WorkSheet!$AF$38,CONCATENATE(WorkSheet!$AF$38&amp;"D"&amp;V30))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647" t="str">
        <f ca="1">IF(樣品清單!AP$21="","--",樣品清單!AP$21)</f>
        <v>--</v>
      </c>
      <c r="C31" s="648"/>
      <c r="D31" s="554" t="str">
        <f ca="1">IFERROR(IF(INDEX(測試方法!$A$1:$AZ$98,MATCH(sample19!$D$5,測試方法!$A$1:$A$98,0),MATCH(sample19!B31,測試方法!$A$2:$AZ$2,0))&lt;&gt;"",INDEX(測試方法!$A$1:$AZ$98,MATCH(sample19!$D$5,測試方法!$A$1:$A$98,0),MATCH(sample19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IF(I31=1,WorkSheet!$AF$38,CONCATENATE(WorkSheet!$AF$38&amp;"D"&amp;I31))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IF(V31=1,WorkSheet!$AF$38,CONCATENATE(WorkSheet!$AF$38&amp;"D"&amp;V31))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647" t="str">
        <f ca="1">IF(樣品清單!AQ$21="","--",樣品清單!AQ$21)</f>
        <v>--</v>
      </c>
      <c r="C32" s="648"/>
      <c r="D32" s="554" t="str">
        <f ca="1">IFERROR(IF(INDEX(測試方法!$A$1:$AZ$98,MATCH(sample19!$D$5,測試方法!$A$1:$A$98,0),MATCH(sample19!B32,測試方法!$A$2:$AZ$2,0))&lt;&gt;"",INDEX(測試方法!$A$1:$AZ$98,MATCH(sample19!$D$5,測試方法!$A$1:$A$98,0),MATCH(sample19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IF(I32=1,WorkSheet!$AF$38,CONCATENATE(WorkSheet!$AF$38&amp;"D"&amp;I32))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IF(V32=1,WorkSheet!$AF$38,CONCATENATE(WorkSheet!$AF$38&amp;"D"&amp;V32))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647" t="str">
        <f ca="1">IF(樣品清單!AR$21="","--",樣品清單!AR$21)</f>
        <v>--</v>
      </c>
      <c r="C33" s="648"/>
      <c r="D33" s="554" t="str">
        <f ca="1">IFERROR(IF(INDEX(測試方法!$A$1:$AZ$98,MATCH(sample19!$D$5,測試方法!$A$1:$A$98,0),MATCH(sample19!B33,測試方法!$A$2:$AZ$2,0))&lt;&gt;"",INDEX(測試方法!$A$1:$AZ$98,MATCH(sample19!$D$5,測試方法!$A$1:$A$98,0),MATCH(sample19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IF(I33=1,WorkSheet!$AF$38,CONCATENATE(WorkSheet!$AF$38&amp;"D"&amp;I33))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IF(V33=1,WorkSheet!$AF$38,CONCATENATE(WorkSheet!$AF$38&amp;"D"&amp;V33))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647" t="str">
        <f ca="1">IF(樣品清單!AS$21="","--",樣品清單!AS$21)</f>
        <v>--</v>
      </c>
      <c r="C34" s="648"/>
      <c r="D34" s="554" t="str">
        <f ca="1">IFERROR(IF(INDEX(測試方法!$A$1:$AZ$98,MATCH(sample19!$D$5,測試方法!$A$1:$A$98,0),MATCH(sample19!B34,測試方法!$A$2:$AZ$2,0))&lt;&gt;"",INDEX(測試方法!$A$1:$AZ$98,MATCH(sample19!$D$5,測試方法!$A$1:$A$98,0),MATCH(sample19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IF(I34=1,WorkSheet!$AF$38,CONCATENATE(WorkSheet!$AF$38&amp;"D"&amp;I34))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IF(V34=1,WorkSheet!$AF$38,CONCATENATE(WorkSheet!$AF$38&amp;"D"&amp;V34))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647" t="str">
        <f ca="1">IF(樣品清單!AT$21="","--",樣品清單!AT$21)</f>
        <v>--</v>
      </c>
      <c r="C35" s="648"/>
      <c r="D35" s="554" t="str">
        <f ca="1">IFERROR(IF(INDEX(測試方法!$A$1:$AZ$98,MATCH(sample19!$D$5,測試方法!$A$1:$A$98,0),MATCH(sample19!B35,測試方法!$A$2:$AZ$2,0))&lt;&gt;"",INDEX(測試方法!$A$1:$AZ$98,MATCH(sample19!$D$5,測試方法!$A$1:$A$98,0),MATCH(sample19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IF(I35=1,WorkSheet!$AF$38,CONCATENATE(WorkSheet!$AF$38&amp;"D"&amp;I35))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IF(V35=1,WorkSheet!$AF$38,CONCATENATE(WorkSheet!$AF$38&amp;"D"&amp;V35))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645" t="str">
        <f ca="1">IF(樣品清單!AU$21="","--",樣品清單!AU$21)</f>
        <v>--</v>
      </c>
      <c r="C36" s="646"/>
      <c r="D36" s="542" t="str">
        <f ca="1">IFERROR(IF(INDEX(測試方法!$A$1:$AZ$98,MATCH(sample19!$D$5,測試方法!$A$1:$A$98,0),MATCH(sample19!B36,測試方法!$A$2:$AZ$2,0))&lt;&gt;"",INDEX(測試方法!$A$1:$AZ$98,MATCH(sample19!$D$5,測試方法!$A$1:$A$98,0),MATCH(sample19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IF(I36=1,WorkSheet!$AF$38,CONCATENATE(WorkSheet!$AF$38&amp;"D"&amp;I36))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IF(V36=1,WorkSheet!$AF$38,CONCATENATE(WorkSheet!$AF$38&amp;"D"&amp;V36))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  <c r="AG40" s="1" t="str">
        <f ca="1">IF(樣品清單!AD$21="","--",樣品清單!AD$21)</f>
        <v>--</v>
      </c>
      <c r="AH40" s="1" t="str">
        <f ca="1">IF(樣品清單!AE$21="","--",樣品清單!AE$21)</f>
        <v>--</v>
      </c>
      <c r="AI40" s="1" t="str">
        <f ca="1">IF(樣品清單!AF$21="","--",樣品清單!AF$21)</f>
        <v>--</v>
      </c>
      <c r="AJ40" s="1" t="str">
        <f ca="1">IF(樣品清單!AG$21="","--",樣品清單!AG$21)</f>
        <v>--</v>
      </c>
      <c r="AK40" s="1" t="str">
        <f ca="1">IF(樣品清單!AH$21="","--",樣品清單!AH$21)</f>
        <v>--</v>
      </c>
      <c r="AL40" s="1" t="str">
        <f ca="1">IF(樣品清單!AI$21="","--",樣品清單!AI$21)</f>
        <v>--</v>
      </c>
      <c r="AM40" s="1" t="str">
        <f ca="1">IF(樣品清單!AJ$21="","--",樣品清單!AJ$21)</f>
        <v>--</v>
      </c>
      <c r="AN40" s="1" t="str">
        <f ca="1">IF(樣品清單!AK$21="","--",樣品清單!AK$21)</f>
        <v>--</v>
      </c>
      <c r="AO40" s="1" t="str">
        <f ca="1">IF(樣品清單!AL$21="","--",樣品清單!AL$21)</f>
        <v>--</v>
      </c>
      <c r="AP40" s="1" t="str">
        <f ca="1">IF(樣品清單!AM$21="","--",樣品清單!AM$21)</f>
        <v>--</v>
      </c>
      <c r="AQ40" s="1" t="str">
        <f ca="1">IF(樣品清單!AN$21="","--",樣品清單!AN$21)</f>
        <v>--</v>
      </c>
      <c r="AR40" s="1" t="str">
        <f ca="1">IF(樣品清單!AO$21="","--",樣品清單!AO$21)</f>
        <v>--</v>
      </c>
      <c r="AS40" s="1" t="str">
        <f ca="1">IF(樣品清單!AP$21="","--",樣品清單!AP$21)</f>
        <v>--</v>
      </c>
      <c r="AT40" s="1" t="str">
        <f ca="1">IF(樣品清單!AQ$21="","--",樣品清單!AQ$21)</f>
        <v>--</v>
      </c>
      <c r="AU40" s="1" t="str">
        <f ca="1">IF(樣品清單!AR$21="","--",樣品清單!AR$21)</f>
        <v>--</v>
      </c>
      <c r="AV40" s="1" t="str">
        <f ca="1">IF(樣品清單!AS$21="","--",樣品清單!AS$21)</f>
        <v>--</v>
      </c>
      <c r="AW40" s="1" t="str">
        <f ca="1">IF(樣品清單!AT$21="","--",樣品清單!AT$21)</f>
        <v>--</v>
      </c>
      <c r="AX40" s="1" t="str">
        <f ca="1">IF(樣品清單!AU$21="","--",樣品清單!AU$21)</f>
        <v>--</v>
      </c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L12" xr:uid="{00000000-0002-0000-1800-000000000000}">
      <formula1>$AG$4:$AG$7</formula1>
    </dataValidation>
    <dataValidation type="list" allowBlank="1" showInputMessage="1" showErrorMessage="1" sqref="E41:E46 K41:K46 Q46 H41:H46 K43 D39 U41:U43 A9:A10 N9:N10 A12 K12 F12 G9:G10 O45 A19:A36" xr:uid="{00000000-0002-0000-1800-000001000000}">
      <formula1>$AG$4:$AG$5</formula1>
    </dataValidation>
    <dataValidation type="list" allowBlank="1" showInputMessage="1" showErrorMessage="1" sqref="U44" xr:uid="{00000000-0002-0000-1800-000002000000}">
      <formula1>$AF$4:$AF$5</formula1>
    </dataValidation>
  </dataValidations>
  <hyperlinks>
    <hyperlink ref="AF1" location="WorkSheet!A1" display="批次表" xr:uid="{00000000-0004-0000-1800-000000000000}"/>
    <hyperlink ref="AF2" location="樣品清單!A1" display="樣品清單" xr:uid="{00000000-0004-0000-18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/>
  <dimension ref="A1:BT49"/>
  <sheetViews>
    <sheetView view="pageBreakPreview" zoomScaleNormal="100" zoomScaleSheetLayoutView="100" zoomScalePageLayoutView="85" workbookViewId="0">
      <selection activeCell="AF1" sqref="AF1"/>
    </sheetView>
  </sheetViews>
  <sheetFormatPr defaultColWidth="10" defaultRowHeight="12.75" x14ac:dyDescent="0.25"/>
  <cols>
    <col min="1" max="1" width="2.7109375" style="1" customWidth="1"/>
    <col min="2" max="4" width="3.7109375" style="1" customWidth="1"/>
    <col min="5" max="31" width="3.140625" style="1" customWidth="1"/>
    <col min="32" max="32" width="10.28515625" style="1" bestFit="1" customWidth="1"/>
    <col min="33" max="45" width="4.7109375" style="1" customWidth="1"/>
    <col min="46" max="46" width="6" style="1" customWidth="1"/>
    <col min="47" max="48" width="4.7109375" style="1" customWidth="1"/>
    <col min="49" max="49" width="3.7109375" style="1" customWidth="1"/>
    <col min="50" max="50" width="12.42578125" style="1" customWidth="1"/>
    <col min="51" max="56" width="5.7109375" style="1" customWidth="1"/>
    <col min="57" max="130" width="3.140625" style="1" customWidth="1"/>
    <col min="131" max="16384" width="10" style="1"/>
  </cols>
  <sheetData>
    <row r="1" spans="1:48" ht="15.75" x14ac:dyDescent="0.25">
      <c r="AF1" s="168" t="s">
        <v>66</v>
      </c>
    </row>
    <row r="2" spans="1:48" ht="21" customHeight="1" x14ac:dyDescent="0.25">
      <c r="A2" s="628" t="s">
        <v>86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25" t="s">
        <v>67</v>
      </c>
      <c r="AI2" s="630"/>
      <c r="AJ2" s="630"/>
      <c r="AK2" s="630"/>
      <c r="AL2" s="630"/>
      <c r="AM2" s="630"/>
      <c r="AN2" s="630"/>
      <c r="AO2" s="630"/>
      <c r="AP2" s="630"/>
      <c r="AQ2" s="630"/>
      <c r="AR2" s="630"/>
      <c r="AS2" s="630"/>
    </row>
    <row r="3" spans="1:48" ht="15.75" customHeight="1" x14ac:dyDescent="0.2">
      <c r="A3" s="2"/>
      <c r="X3" s="559" t="s">
        <v>23</v>
      </c>
      <c r="Y3" s="559"/>
      <c r="Z3" s="559"/>
      <c r="AA3" s="631" t="str">
        <f>WorkSheet!C39&amp;WorkSheet!G39</f>
        <v>--</v>
      </c>
      <c r="AB3" s="631"/>
      <c r="AC3" s="631"/>
      <c r="AD3" s="631"/>
      <c r="AE3" s="631"/>
      <c r="AF3" s="75"/>
      <c r="AI3" s="632" t="str">
        <f ca="1">CONCATENATE(IF(OR(AT3&lt;AT4,AT3="ND"),CONCATENATE("As2O3 = 未檢出(&lt;"&amp;AT4&amp;" mg/kg)","(",INDEX(WorkSheet!W20:W39,MATCH(LEFT(AA3,10),WorkSheet!AF20:AF39,0)),")"),CONCATENATE("As2O3 ="&amp;AT3&amp;" mg/kg (LOQ ="&amp;AT4&amp;" mg/kg)")&amp;"("&amp;INDEX(WorkSheet!W20:W39,MATCH(LEFT(AA3,10),WorkSheet!AF20:AF39,0))&amp;")"))</f>
        <v>As2O3 =-- mg/kg (LOQ =-- mg/kg)(--)</v>
      </c>
      <c r="AJ3" s="632"/>
      <c r="AK3" s="632"/>
      <c r="AL3" s="632"/>
      <c r="AM3" s="632"/>
      <c r="AN3" s="632"/>
      <c r="AO3" s="632"/>
      <c r="AP3" s="632"/>
      <c r="AQ3" s="632"/>
      <c r="AR3" s="632"/>
      <c r="AS3" s="632"/>
      <c r="AT3" s="128" t="str">
        <f ca="1">IFERROR(IF(O19="ND","ND",ROUND(O19*1.32,3)),"--")</f>
        <v>--</v>
      </c>
    </row>
    <row r="4" spans="1:48" ht="16.5" customHeight="1" x14ac:dyDescent="0.25">
      <c r="AG4" s="3" t="s">
        <v>24</v>
      </c>
      <c r="AH4" s="3" t="s">
        <v>11</v>
      </c>
      <c r="AI4" s="634" t="s">
        <v>206</v>
      </c>
      <c r="AJ4" s="634"/>
      <c r="AK4" s="634"/>
      <c r="AL4" s="634"/>
      <c r="AM4" s="634"/>
      <c r="AN4" s="634"/>
      <c r="AO4" s="634"/>
      <c r="AP4" s="634"/>
      <c r="AQ4" s="634"/>
      <c r="AR4" s="634"/>
      <c r="AS4" s="634"/>
      <c r="AT4" s="146" t="str">
        <f>IF(D5=測試方法!A25,"0.005",IF(D5=測試方法!A5,"1","--"))</f>
        <v>--</v>
      </c>
    </row>
    <row r="5" spans="1:48" ht="20.100000000000001" customHeight="1" x14ac:dyDescent="0.25">
      <c r="A5" s="637" t="s">
        <v>26</v>
      </c>
      <c r="B5" s="637"/>
      <c r="C5" s="637"/>
      <c r="D5" s="642" t="str">
        <f>WorkSheet!E3</f>
        <v>SC17-CHI703C 食品中重金屬含量測試標準作業辦法(0.5 g_25 mL)</v>
      </c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8"/>
      <c r="AG5" s="3" t="s">
        <v>25</v>
      </c>
      <c r="AH5" s="3" t="s">
        <v>11</v>
      </c>
      <c r="AI5" s="643" t="s">
        <v>284</v>
      </c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</row>
    <row r="6" spans="1:48" ht="20.100000000000001" customHeight="1" x14ac:dyDescent="0.25">
      <c r="A6" s="637" t="s">
        <v>38</v>
      </c>
      <c r="B6" s="637"/>
      <c r="C6" s="637"/>
      <c r="D6" s="644" t="str">
        <f>IFERROR(INDEX(samplename,MATCH(WorkSheet!C39,Job_No,0)),"--")</f>
        <v>--</v>
      </c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644"/>
      <c r="AA6" s="644"/>
      <c r="AB6" s="644"/>
      <c r="AC6" s="644"/>
      <c r="AD6" s="644"/>
      <c r="AE6" s="644"/>
      <c r="AF6" s="10"/>
      <c r="AG6" s="3" t="s">
        <v>11</v>
      </c>
      <c r="AH6" s="3"/>
      <c r="AI6" s="618"/>
      <c r="AJ6" s="618"/>
      <c r="AK6" s="618"/>
      <c r="AL6" s="618"/>
      <c r="AM6" s="618"/>
      <c r="AN6" s="618"/>
      <c r="AO6" s="618"/>
      <c r="AP6" s="618"/>
      <c r="AQ6" s="618"/>
      <c r="AR6" s="618"/>
      <c r="AS6" s="618"/>
    </row>
    <row r="7" spans="1:48" ht="20.100000000000001" customHeight="1" x14ac:dyDescent="0.25">
      <c r="A7" s="635" t="s">
        <v>442</v>
      </c>
      <c r="B7" s="635"/>
      <c r="C7" s="635"/>
      <c r="D7" s="635"/>
      <c r="E7" s="636" t="str">
        <f>IFERROR(INDEX(W,MATCH(AA3,RP,0)),"--")</f>
        <v>--</v>
      </c>
      <c r="F7" s="636"/>
      <c r="G7" s="636"/>
      <c r="H7" s="636"/>
      <c r="I7" s="636"/>
      <c r="J7" s="8" t="str">
        <f>INDEX(取樣單位,MATCH($D$5,Method,0))</f>
        <v>g</v>
      </c>
      <c r="K7" s="635" t="s">
        <v>87</v>
      </c>
      <c r="L7" s="637"/>
      <c r="M7" s="637"/>
      <c r="N7" s="637"/>
      <c r="O7" s="638" t="str">
        <f>IFERROR(INDEX(V,MATCH(AA3,RP,0)),"--")</f>
        <v>--</v>
      </c>
      <c r="P7" s="638"/>
      <c r="Q7" s="638"/>
      <c r="R7" s="638"/>
      <c r="S7" s="8" t="s">
        <v>21</v>
      </c>
      <c r="T7" s="8"/>
      <c r="AE7" s="9"/>
      <c r="AF7" s="9"/>
      <c r="AI7" s="618"/>
      <c r="AJ7" s="618"/>
      <c r="AK7" s="618"/>
      <c r="AL7" s="618"/>
      <c r="AM7" s="618"/>
      <c r="AN7" s="618"/>
      <c r="AO7" s="618"/>
      <c r="AP7" s="618"/>
      <c r="AQ7" s="618"/>
      <c r="AR7" s="618"/>
      <c r="AS7" s="618"/>
    </row>
    <row r="8" spans="1:48" s="22" customFormat="1" ht="18.95" customHeight="1" x14ac:dyDescent="0.2">
      <c r="A8" s="639" t="s">
        <v>39</v>
      </c>
      <c r="B8" s="639"/>
      <c r="C8" s="639"/>
      <c r="D8" s="639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W8" s="640"/>
      <c r="X8" s="641"/>
      <c r="Y8" s="641"/>
      <c r="Z8" s="641"/>
      <c r="AA8" s="641"/>
      <c r="AB8" s="641"/>
      <c r="AC8" s="641"/>
      <c r="AD8" s="641"/>
      <c r="AI8" s="618"/>
      <c r="AJ8" s="618"/>
      <c r="AK8" s="618"/>
      <c r="AL8" s="618"/>
      <c r="AM8" s="618"/>
      <c r="AN8" s="618"/>
      <c r="AO8" s="618"/>
      <c r="AP8" s="618"/>
      <c r="AQ8" s="618"/>
      <c r="AR8" s="618"/>
      <c r="AS8" s="618"/>
    </row>
    <row r="9" spans="1:48" s="22" customFormat="1" ht="18.95" customHeight="1" x14ac:dyDescent="0.25">
      <c r="A9" s="145" t="str">
        <f>IF(D9="--",$AG$4,$AG$5)</f>
        <v>□</v>
      </c>
      <c r="B9" s="625" t="s">
        <v>40</v>
      </c>
      <c r="C9" s="625"/>
      <c r="D9" s="622" t="str">
        <f>WorkSheet!K8</f>
        <v>--</v>
      </c>
      <c r="E9" s="622"/>
      <c r="F9" s="21" t="s">
        <v>10</v>
      </c>
      <c r="G9" s="145" t="str">
        <f>IF(K9="--",$AG$4,$AG$5)</f>
        <v>■</v>
      </c>
      <c r="H9" s="626" t="s">
        <v>41</v>
      </c>
      <c r="I9" s="626"/>
      <c r="J9" s="626"/>
      <c r="K9" s="622">
        <f>WorkSheet!K9</f>
        <v>12</v>
      </c>
      <c r="L9" s="622"/>
      <c r="M9" s="21" t="s">
        <v>10</v>
      </c>
      <c r="N9" s="145" t="str">
        <f>IF(Q9="--",$AG$4,$AG$5)</f>
        <v>□</v>
      </c>
      <c r="O9" s="627" t="s">
        <v>42</v>
      </c>
      <c r="P9" s="627"/>
      <c r="Q9" s="622" t="str">
        <f>WorkSheet!K10</f>
        <v>--</v>
      </c>
      <c r="R9" s="622"/>
      <c r="S9" s="21" t="s">
        <v>10</v>
      </c>
      <c r="T9" s="21"/>
      <c r="U9" s="21"/>
      <c r="V9" s="21"/>
      <c r="W9" s="621"/>
      <c r="X9" s="621"/>
      <c r="Y9" s="621"/>
      <c r="Z9" s="621"/>
      <c r="AA9" s="621"/>
      <c r="AB9" s="621"/>
      <c r="AC9" s="616"/>
      <c r="AD9" s="617"/>
      <c r="AE9" s="67"/>
      <c r="AF9" s="67"/>
      <c r="AI9" s="618"/>
      <c r="AJ9" s="618"/>
      <c r="AK9" s="618"/>
      <c r="AL9" s="618"/>
      <c r="AM9" s="618"/>
      <c r="AN9" s="618"/>
      <c r="AO9" s="618"/>
      <c r="AP9" s="618"/>
      <c r="AQ9" s="618"/>
      <c r="AR9" s="618"/>
      <c r="AS9" s="618"/>
    </row>
    <row r="10" spans="1:48" s="22" customFormat="1" ht="18.95" customHeight="1" x14ac:dyDescent="0.25">
      <c r="A10" s="145" t="str">
        <f>IF(D10="--",$AG$4,$AG$5)</f>
        <v>□</v>
      </c>
      <c r="B10" s="625" t="s">
        <v>44</v>
      </c>
      <c r="C10" s="625"/>
      <c r="D10" s="622" t="str">
        <f>WorkSheet!K11</f>
        <v>--</v>
      </c>
      <c r="E10" s="622"/>
      <c r="F10" s="21" t="s">
        <v>10</v>
      </c>
      <c r="G10" s="145" t="str">
        <f>IF(K10="--",$AG$4,$AG$5)</f>
        <v>□</v>
      </c>
      <c r="H10" s="627" t="s">
        <v>43</v>
      </c>
      <c r="I10" s="627"/>
      <c r="J10" s="627"/>
      <c r="K10" s="622" t="str">
        <f>IF(WorkSheet!E3=測試方法!A34,"--",WorkSheet!K12)</f>
        <v>--</v>
      </c>
      <c r="L10" s="622"/>
      <c r="M10" s="21" t="s">
        <v>10</v>
      </c>
      <c r="N10" s="79" t="str">
        <f>IF(R10="--",AG4,AG5)</f>
        <v>□</v>
      </c>
      <c r="O10" s="623" t="s">
        <v>45</v>
      </c>
      <c r="P10" s="623"/>
      <c r="Q10" s="623"/>
      <c r="R10" s="624" t="str">
        <f>IF(WorkSheet!E3=測試方法!A34,CONCATENATE(WorkSheet!B12,WorkSheet!J12,WorkSheet!K12,WorkSheet!N12),"--")</f>
        <v>--</v>
      </c>
      <c r="S10" s="624"/>
      <c r="T10" s="624"/>
      <c r="U10" s="624"/>
      <c r="V10" s="624"/>
      <c r="W10" s="619"/>
      <c r="X10" s="619"/>
      <c r="Y10" s="619"/>
      <c r="Z10" s="619"/>
      <c r="AA10" s="619"/>
      <c r="AB10" s="619"/>
      <c r="AC10" s="616"/>
      <c r="AD10" s="617"/>
      <c r="AE10" s="67"/>
      <c r="AI10" s="618"/>
      <c r="AJ10" s="618"/>
      <c r="AK10" s="618"/>
      <c r="AL10" s="618"/>
      <c r="AM10" s="618"/>
      <c r="AN10" s="618"/>
      <c r="AO10" s="618"/>
      <c r="AP10" s="618"/>
      <c r="AQ10" s="618"/>
      <c r="AR10" s="618"/>
      <c r="AS10" s="618"/>
    </row>
    <row r="11" spans="1:48" ht="15" customHeight="1" x14ac:dyDescent="0.25">
      <c r="V11" s="70"/>
      <c r="W11" s="619"/>
      <c r="X11" s="619"/>
      <c r="Y11" s="619"/>
      <c r="Z11" s="619"/>
      <c r="AA11" s="619"/>
      <c r="AB11" s="619"/>
      <c r="AC11" s="616"/>
      <c r="AD11" s="617"/>
      <c r="AE11" s="40"/>
      <c r="AF11" s="40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</row>
    <row r="12" spans="1:48" ht="15" customHeight="1" x14ac:dyDescent="0.25">
      <c r="A12" s="65" t="s">
        <v>1</v>
      </c>
      <c r="B12" s="42" t="s">
        <v>84</v>
      </c>
      <c r="C12" s="24"/>
      <c r="D12" s="24"/>
      <c r="E12" s="24"/>
      <c r="F12" s="65" t="s">
        <v>1</v>
      </c>
      <c r="G12" s="42" t="s">
        <v>143</v>
      </c>
      <c r="H12" s="61"/>
      <c r="I12" s="61"/>
      <c r="J12" s="19"/>
      <c r="K12" s="60"/>
      <c r="L12" s="44" t="str">
        <f>IF(M12="--",AG4,AG5)</f>
        <v>□</v>
      </c>
      <c r="M12" s="620" t="str">
        <f>IF(OR(D5=測試方法!A25,D5=測試方法!A5),AI3,IF(AI4="請輸入",INDEX(WorkSheet!W20:W39,MATCH(LEFT(AA3,10),WorkSheet!AF20:AF39,0)),IF(INDEX(WorkSheet!W20:W39,MATCH(LEFT(AA3,10),WorkSheet!AF20:AF39,0))="--",AI4,CONCATENATE(INDEX(WorkSheet!W20:W39,MATCH(LEFT(AA3,10),WorkSheet!AF20:AF39,0)),AI4))))</f>
        <v>--</v>
      </c>
      <c r="N12" s="620"/>
      <c r="O12" s="620"/>
      <c r="P12" s="620"/>
      <c r="Q12" s="620"/>
      <c r="R12" s="620"/>
      <c r="S12" s="620"/>
      <c r="T12" s="620"/>
      <c r="U12" s="620"/>
      <c r="V12" s="620"/>
      <c r="W12" s="620"/>
      <c r="X12" s="620"/>
      <c r="Y12" s="620"/>
      <c r="Z12" s="620"/>
      <c r="AA12" s="620"/>
      <c r="AB12" s="620"/>
      <c r="AC12" s="620"/>
      <c r="AD12" s="620"/>
      <c r="AF12" s="13"/>
    </row>
    <row r="13" spans="1:48" ht="6" customHeight="1" x14ac:dyDescent="0.25">
      <c r="A13" s="60"/>
      <c r="B13" s="8"/>
      <c r="C13" s="40"/>
      <c r="D13" s="40"/>
      <c r="E13" s="13"/>
      <c r="F13" s="13"/>
      <c r="G13" s="76"/>
      <c r="H13" s="13"/>
      <c r="I13" s="13"/>
      <c r="J13" s="13"/>
      <c r="K13" s="13"/>
      <c r="L13" s="60"/>
      <c r="M13" s="8"/>
      <c r="N13" s="40"/>
      <c r="O13" s="40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4"/>
      <c r="AA13" s="14"/>
      <c r="AB13" s="14"/>
      <c r="AC13" s="14"/>
      <c r="AD13" s="13"/>
      <c r="AE13" s="13"/>
      <c r="AF13" s="13"/>
      <c r="AJ13" s="24"/>
      <c r="AK13" s="24"/>
      <c r="AL13" s="24"/>
      <c r="AM13" s="24"/>
      <c r="AN13" s="24"/>
      <c r="AO13" s="24"/>
      <c r="AP13" s="24"/>
    </row>
    <row r="14" spans="1:48" ht="15" customHeight="1" x14ac:dyDescent="0.25">
      <c r="A14" s="317" t="s">
        <v>29</v>
      </c>
      <c r="AF14" s="40"/>
      <c r="AJ14" s="43"/>
      <c r="AK14" s="101"/>
      <c r="AL14" s="43"/>
      <c r="AM14" s="43"/>
      <c r="AN14" s="43"/>
      <c r="AO14" s="43"/>
      <c r="AP14" s="43"/>
    </row>
    <row r="15" spans="1:48" ht="4.5" customHeight="1" thickBot="1" x14ac:dyDescent="0.3">
      <c r="A15" s="40"/>
      <c r="B15" s="40"/>
      <c r="C15" s="40"/>
      <c r="D15" s="40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4"/>
      <c r="P15" s="14"/>
      <c r="Q15" s="13"/>
      <c r="R15" s="13"/>
      <c r="S15" s="13"/>
      <c r="T15" s="13"/>
      <c r="U15" s="13"/>
      <c r="V15" s="13"/>
      <c r="W15" s="13"/>
      <c r="X15" s="13"/>
      <c r="Y15" s="14"/>
      <c r="Z15" s="14"/>
      <c r="AA15" s="14"/>
      <c r="AB15" s="14"/>
      <c r="AC15" s="14"/>
      <c r="AD15" s="13"/>
      <c r="AE15" s="13"/>
      <c r="AF15" s="40"/>
      <c r="AN15" s="2"/>
      <c r="AO15" s="2"/>
    </row>
    <row r="16" spans="1:48" ht="15" customHeight="1" x14ac:dyDescent="0.25">
      <c r="A16" s="578" t="s">
        <v>37</v>
      </c>
      <c r="B16" s="579"/>
      <c r="C16" s="580"/>
      <c r="D16" s="596" t="s">
        <v>78</v>
      </c>
      <c r="E16" s="597"/>
      <c r="F16" s="578" t="s">
        <v>90</v>
      </c>
      <c r="G16" s="579"/>
      <c r="H16" s="600"/>
      <c r="I16" s="601" t="s">
        <v>93</v>
      </c>
      <c r="J16" s="602"/>
      <c r="K16" s="605" t="s">
        <v>89</v>
      </c>
      <c r="L16" s="579"/>
      <c r="M16" s="579"/>
      <c r="N16" s="600"/>
      <c r="O16" s="579" t="s">
        <v>88</v>
      </c>
      <c r="P16" s="579"/>
      <c r="Q16" s="579"/>
      <c r="R16" s="580"/>
      <c r="S16" s="578" t="s">
        <v>90</v>
      </c>
      <c r="T16" s="579"/>
      <c r="U16" s="600"/>
      <c r="V16" s="601" t="s">
        <v>93</v>
      </c>
      <c r="W16" s="602"/>
      <c r="X16" s="605" t="s">
        <v>89</v>
      </c>
      <c r="Y16" s="579"/>
      <c r="Z16" s="579"/>
      <c r="AA16" s="600"/>
      <c r="AB16" s="579" t="s">
        <v>88</v>
      </c>
      <c r="AC16" s="579"/>
      <c r="AD16" s="579"/>
      <c r="AE16" s="580"/>
      <c r="AF16" s="40"/>
      <c r="AG16" s="545"/>
      <c r="AH16" s="545"/>
      <c r="AI16" s="545"/>
      <c r="AJ16" s="545"/>
      <c r="AU16" s="29"/>
      <c r="AV16" s="29"/>
    </row>
    <row r="17" spans="1:72" ht="15" customHeight="1" x14ac:dyDescent="0.25">
      <c r="A17" s="581"/>
      <c r="B17" s="582"/>
      <c r="C17" s="583"/>
      <c r="D17" s="598"/>
      <c r="E17" s="599"/>
      <c r="F17" s="606" t="s">
        <v>91</v>
      </c>
      <c r="G17" s="607"/>
      <c r="H17" s="608"/>
      <c r="I17" s="603"/>
      <c r="J17" s="604"/>
      <c r="K17" s="609" t="s">
        <v>94</v>
      </c>
      <c r="L17" s="607"/>
      <c r="M17" s="607"/>
      <c r="N17" s="608"/>
      <c r="O17" s="609" t="s">
        <v>22</v>
      </c>
      <c r="P17" s="607"/>
      <c r="Q17" s="607"/>
      <c r="R17" s="610"/>
      <c r="S17" s="606" t="s">
        <v>91</v>
      </c>
      <c r="T17" s="607"/>
      <c r="U17" s="608"/>
      <c r="V17" s="603"/>
      <c r="W17" s="604"/>
      <c r="X17" s="609" t="s">
        <v>94</v>
      </c>
      <c r="Y17" s="607"/>
      <c r="Z17" s="607"/>
      <c r="AA17" s="608"/>
      <c r="AB17" s="611" t="s">
        <v>22</v>
      </c>
      <c r="AC17" s="611"/>
      <c r="AD17" s="611"/>
      <c r="AE17" s="612"/>
      <c r="AF17" s="13"/>
      <c r="AG17" s="613" t="s">
        <v>120</v>
      </c>
      <c r="AH17" s="614"/>
      <c r="AI17" s="614"/>
      <c r="AJ17" s="614"/>
      <c r="AK17" s="614"/>
      <c r="AL17" s="614"/>
      <c r="AM17" s="614"/>
      <c r="AN17" s="614"/>
      <c r="AO17" s="614"/>
      <c r="AP17" s="614"/>
      <c r="AQ17" s="614"/>
      <c r="AR17" s="614"/>
      <c r="AS17" s="614"/>
      <c r="AT17" s="614"/>
      <c r="AU17" s="614"/>
      <c r="AV17" s="615"/>
    </row>
    <row r="18" spans="1:72" ht="15" customHeight="1" thickBot="1" x14ac:dyDescent="0.3">
      <c r="A18" s="584"/>
      <c r="B18" s="585"/>
      <c r="C18" s="586"/>
      <c r="D18" s="587" t="str">
        <f>IF(D5=測試方法!A16,"mg/L","mg/kg")</f>
        <v>mg/kg</v>
      </c>
      <c r="E18" s="588"/>
      <c r="F18" s="589" t="s">
        <v>281</v>
      </c>
      <c r="G18" s="568"/>
      <c r="H18" s="568"/>
      <c r="I18" s="590" t="s">
        <v>92</v>
      </c>
      <c r="J18" s="591"/>
      <c r="K18" s="592" t="s">
        <v>281</v>
      </c>
      <c r="L18" s="593"/>
      <c r="M18" s="593"/>
      <c r="N18" s="594"/>
      <c r="O18" s="592" t="str">
        <f>IF(D5=測試方法!A12,"mg/L","mg/kg")</f>
        <v>mg/kg</v>
      </c>
      <c r="P18" s="593"/>
      <c r="Q18" s="593"/>
      <c r="R18" s="595"/>
      <c r="S18" s="589" t="s">
        <v>281</v>
      </c>
      <c r="T18" s="568"/>
      <c r="U18" s="568"/>
      <c r="V18" s="590" t="s">
        <v>92</v>
      </c>
      <c r="W18" s="591"/>
      <c r="X18" s="592" t="s">
        <v>281</v>
      </c>
      <c r="Y18" s="593"/>
      <c r="Z18" s="593"/>
      <c r="AA18" s="594"/>
      <c r="AB18" s="568" t="str">
        <f>IF(D5=測試方法!A12,"mg/L","mg/kg")</f>
        <v>mg/kg</v>
      </c>
      <c r="AC18" s="568"/>
      <c r="AD18" s="568"/>
      <c r="AE18" s="569"/>
      <c r="AF18" s="64"/>
      <c r="AG18" s="570" t="str">
        <f>WorkSheet!AF16</f>
        <v>C0YYYY/MM/DD-F</v>
      </c>
      <c r="AH18" s="571"/>
      <c r="AI18" s="571"/>
      <c r="AJ18" s="572"/>
      <c r="AK18" s="530">
        <v>1</v>
      </c>
      <c r="AL18" s="531"/>
      <c r="AM18" s="531"/>
      <c r="AN18" s="369"/>
      <c r="AO18" s="530" t="str">
        <f>AG18</f>
        <v>C0YYYY/MM/DD-F</v>
      </c>
      <c r="AP18" s="531"/>
      <c r="AQ18" s="531"/>
      <c r="AR18" s="369"/>
      <c r="AS18" s="530">
        <v>2</v>
      </c>
      <c r="AT18" s="531"/>
      <c r="AU18" s="531"/>
      <c r="AV18" s="369"/>
      <c r="AZ18" s="48"/>
      <c r="BA18" s="48"/>
      <c r="BB18" s="48"/>
      <c r="BC18" s="48"/>
      <c r="BD18" s="48"/>
      <c r="BE18" s="48"/>
      <c r="BF18" s="68"/>
      <c r="BG18" s="68"/>
      <c r="BH18" s="68"/>
    </row>
    <row r="19" spans="1:72" ht="15" customHeight="1" x14ac:dyDescent="0.25">
      <c r="A19" s="71" t="str">
        <f ca="1">IF(B19="--",$AG$4,IF(INDEX(測試方法!$A$1:$AZ$98,MATCH($D$5,測試方法!$A$1:$A$98,0),MATCH(B19,測試方法!$A$2:$AZ$2,0))="",$AG$6,$AG$5))</f>
        <v>□</v>
      </c>
      <c r="B19" s="573" t="str">
        <f ca="1">IF(樣品清單!AD$22="","--",樣品清單!AD$22)</f>
        <v>--</v>
      </c>
      <c r="C19" s="574"/>
      <c r="D19" s="575" t="str">
        <f ca="1">IFERROR(IF(INDEX(測試方法!$A$1:$AZ$98,MATCH(sample20!$D$5,測試方法!$A$1:$A$98,0),MATCH(sample20!B19,測試方法!$A$2:$AZ$2,0))&lt;&gt;"",INDEX(測試方法!$A$1:$AZ$98,MATCH(sample20!$D$5,測試方法!$A$1:$A$98,0),MATCH(sample20!B19,測試方法!$A$2:$AZ$2,0)),"KeyIn"),"--")</f>
        <v>--</v>
      </c>
      <c r="E19" s="574"/>
      <c r="F19" s="562" t="str" cm="1">
        <f t="array" aca="1" ref="F19" ca="1">IFERROR(IF(INDEX(RawData!$A$1:$ZZ$100,MATCH($AG19,RawData!$G$1:$G$100,0),MATCH(--MID(B19,3,10),--LEFT(RawData!$A$1:$ZZ$1,3),0))="&lt;0.000",0,ROUND(INDEX(RawData!$A$1:$ZZ$100,MATCH($AG19,RawData!$G$1:$G$100,0),MATCH(--MID(B19,3,10),--LEFT(RawData!$A$1:$ZZ$1,3),0)),3)),"--")</f>
        <v>--</v>
      </c>
      <c r="G19" s="563"/>
      <c r="H19" s="564"/>
      <c r="I19" s="576" t="str">
        <f ca="1">IF(B19&lt;&gt;"--",1,"--")</f>
        <v>--</v>
      </c>
      <c r="J19" s="577"/>
      <c r="K19" s="567" t="str" cm="1">
        <f t="array" aca="1" ref="K19" ca="1">IFERROR(IF(INDEX(RawData!$A$1:$ZZ$100,MATCH($AK19,RawData!$G$1:$G$100,0),MATCH(--MID(B19,3,10),--LEFT(RawData!$A$1:$ZZ$1,3),0))="&lt;0.000",0,ROUND(INDEX(RawData!$A$1:$ZZ$100,MATCH($AK19,RawData!$G$1:$G$100,0),MATCH(--MID(B19,3,10),--LEFT(RawData!$A$1:$ZZ$1,3),0)),3)),"--")</f>
        <v>--</v>
      </c>
      <c r="L19" s="563"/>
      <c r="M19" s="563"/>
      <c r="N19" s="564"/>
      <c r="O19" s="560" t="str">
        <f ca="1">IF(OR(D19="--",D19="KeyIn"),"--",IF((K19-$F19)*$O$7*I19/$E$7/1000&lt;$D19,"ND",(K19-$F19)*$O$7*I19/$E$7/1000))</f>
        <v>--</v>
      </c>
      <c r="P19" s="560"/>
      <c r="Q19" s="560"/>
      <c r="R19" s="561"/>
      <c r="S19" s="562" t="str">
        <f t="array" aca="1" ref="S19" ca="1">IFERROR(IF(INDEX(RawData!$A$1:$ZZ$100,MATCH($AO19,RawData!$G$1:$G$100,0),MATCH(--MID(B19,3,10),--LEFT(RawData!$A$1:$ZZ$1,3),0))="&lt;0.000",0,ROUND(INDEX(RawData!$A$1:$ZZ$100,MATCH($AO19,RawData!$G$1:$G$100,0),MATCH(--MID(B19,3,10),--LEFT(RawData!$A$1:$ZZ$1,3),0)),3)),"--")</f>
        <v>--</v>
      </c>
      <c r="T19" s="563"/>
      <c r="U19" s="564"/>
      <c r="V19" s="566" t="s">
        <v>97</v>
      </c>
      <c r="W19" s="566"/>
      <c r="X19" s="567" t="str">
        <f t="array" aca="1" ref="X19" ca="1">IFERROR(IF(INDEX(RawData!$A$1:$ZZ$100,MATCH($AS19,RawData!$G$1:$G$100,0),MATCH(--MID(B19,3,10),--LEFT(RawData!$A$1:$ZZ$1,3),0))="&lt;0.000",0,ROUND(INDEX(RawData!$A$1:$ZZ$100,MATCH($AS19,RawData!$G$1:$G$100,0),MATCH(--MID(B19,3,10),--LEFT(RawData!$A$1:$ZZ$1,3),0)),3)),"--")</f>
        <v>--</v>
      </c>
      <c r="Y19" s="563"/>
      <c r="Z19" s="563"/>
      <c r="AA19" s="564"/>
      <c r="AB19" s="560" t="str">
        <f ca="1">IFERROR(IF(OR(D19="--",D19="keyIn"),"--",IF((X19-$S19)*$O$7*V19/$E$7/1000&lt;$D19,"ND",(X19-$S19)*$O$7*V19/$E$7/1000)),"--")</f>
        <v>--</v>
      </c>
      <c r="AC19" s="560"/>
      <c r="AD19" s="560"/>
      <c r="AE19" s="561"/>
      <c r="AF19" s="56"/>
      <c r="AG19" s="530" t="str">
        <f ca="1">IF(I19=1,$AG$18,CONCATENATE($AG$18&amp;"D"&amp;I19))</f>
        <v>C0YYYY/MM/DD-FD--</v>
      </c>
      <c r="AH19" s="531"/>
      <c r="AI19" s="531"/>
      <c r="AJ19" s="369"/>
      <c r="AK19" s="530" t="str">
        <f ca="1">IF(I19=1,WorkSheet!$AF$39,CONCATENATE(WorkSheet!$AF$39&amp;"D"&amp;I19))</f>
        <v>--D--</v>
      </c>
      <c r="AL19" s="531"/>
      <c r="AM19" s="531"/>
      <c r="AN19" s="369"/>
      <c r="AO19" s="530" t="str">
        <f>IF(V19=1,$AO$18,CONCATENATE($AO$18&amp;"D"&amp;V19))</f>
        <v>C0YYYY/MM/DD-FD--</v>
      </c>
      <c r="AP19" s="531"/>
      <c r="AQ19" s="531"/>
      <c r="AR19" s="369"/>
      <c r="AS19" s="530" t="str">
        <f>IF(V19=1,WorkSheet!$AF$39,CONCATENATE(WorkSheet!$AF$39&amp;"D"&amp;V19))</f>
        <v>--D--</v>
      </c>
      <c r="AT19" s="531"/>
      <c r="AU19" s="531"/>
      <c r="AV19" s="369"/>
      <c r="BI19" s="68"/>
      <c r="BJ19" s="68"/>
      <c r="BK19" s="68"/>
      <c r="BL19" s="68"/>
      <c r="BQ19" s="559"/>
      <c r="BR19" s="559"/>
      <c r="BS19" s="559"/>
      <c r="BT19" s="559"/>
    </row>
    <row r="20" spans="1:72" ht="15" customHeight="1" x14ac:dyDescent="0.25">
      <c r="A20" s="72" t="str">
        <f ca="1">IF(B20="--",$AG$4,IF(INDEX(測試方法!$A$1:$AZ$98,MATCH($D$5,測試方法!$A$1:$A$98,0),MATCH(B20,測試方法!$A$2:$AZ$2,0))="",$AG$6,$AG$5))</f>
        <v>□</v>
      </c>
      <c r="B20" s="552" t="str">
        <f ca="1">IF(樣品清單!AE$22="","--",樣品清單!AE$22)</f>
        <v>--</v>
      </c>
      <c r="C20" s="553"/>
      <c r="D20" s="554" t="str">
        <f ca="1">IFERROR(IF(INDEX(測試方法!$A$1:$AZ$98,MATCH(sample20!$D$5,測試方法!$A$1:$A$98,0),MATCH(sample20!B20,測試方法!$A$2:$AZ$2,0))&lt;&gt;"",INDEX(測試方法!$A$1:$AZ$98,MATCH(sample20!$D$5,測試方法!$A$1:$A$98,0),MATCH(sample20!B20,測試方法!$A$2:$AZ$2,0)),"KeyIn"),"--")</f>
        <v>--</v>
      </c>
      <c r="E20" s="553"/>
      <c r="F20" s="555" t="str" cm="1">
        <f t="array" aca="1" ref="F20" ca="1">IFERROR(IF(INDEX(RawData!$A$1:$ZZ$100,MATCH($AG20,RawData!$G$1:$G$100,0),MATCH(--MID(B20,3,10),--LEFT(RawData!$A$1:$ZZ$1,3),0))="&lt;0.000",0,ROUND(INDEX(RawData!$A$1:$ZZ$100,MATCH($AG20,RawData!$G$1:$G$100,0),MATCH(--MID(B20,3,10),--LEFT(RawData!$A$1:$ZZ$1,3),0)),3)),"--")</f>
        <v>--</v>
      </c>
      <c r="G20" s="548"/>
      <c r="H20" s="549"/>
      <c r="I20" s="556" t="str">
        <f t="shared" ref="I20:I36" ca="1" si="0">IF(B20&lt;&gt;"--",1,"--")</f>
        <v>--</v>
      </c>
      <c r="J20" s="557"/>
      <c r="K20" s="547" t="str" cm="1">
        <f t="array" aca="1" ref="K20" ca="1">IFERROR(IF(INDEX(RawData!$A$1:$ZZ$100,MATCH($AK20,RawData!$G$1:$G$100,0),MATCH(--MID(B20,3,10),--LEFT(RawData!$A$1:$ZZ$1,3),0))="&lt;0.000",0,ROUND(INDEX(RawData!$A$1:$ZZ$100,MATCH($AK20,RawData!$G$1:$G$100,0),MATCH(--MID(B20,3,10),--LEFT(RawData!$A$1:$ZZ$1,3),0)),3)),"--")</f>
        <v>--</v>
      </c>
      <c r="L20" s="548"/>
      <c r="M20" s="548"/>
      <c r="N20" s="549"/>
      <c r="O20" s="550" t="str">
        <f t="shared" ref="O20:O36" ca="1" si="1">IF(OR(D20="--",D20="KeyIn"),"--",IF((K20-$F20)*$O$7*I20/$E$7/1000&lt;$D20,"ND",(K20-$F20)*$O$7*I20/$E$7/1000))</f>
        <v>--</v>
      </c>
      <c r="P20" s="550"/>
      <c r="Q20" s="550"/>
      <c r="R20" s="551"/>
      <c r="S20" s="555" t="str">
        <f t="array" aca="1" ref="S20" ca="1">IFERROR(IF(INDEX(RawData!$A$1:$ZZ$100,MATCH($AO20,RawData!$G$1:$G$100,0),MATCH(--MID(B20,3,10),--LEFT(RawData!$A$1:$ZZ$1,3),0))="&lt;0.000",0,ROUND(INDEX(RawData!$A$1:$ZZ$100,MATCH($AO20,RawData!$G$1:$G$100,0),MATCH(--MID(B20,3,10),--LEFT(RawData!$A$1:$ZZ$1,3),0)),3)),"--")</f>
        <v>--</v>
      </c>
      <c r="T20" s="548"/>
      <c r="U20" s="549"/>
      <c r="V20" s="558" t="s">
        <v>97</v>
      </c>
      <c r="W20" s="558"/>
      <c r="X20" s="547" t="str">
        <f t="array" aca="1" ref="X20" ca="1">IFERROR(IF(INDEX(RawData!$A$1:$ZZ$100,MATCH($AS20,RawData!$G$1:$G$100,0),MATCH(--MID(B20,3,10),--LEFT(RawData!$A$1:$ZZ$1,3),0))="&lt;0.000",0,ROUND(INDEX(RawData!$A$1:$ZZ$100,MATCH($AS20,RawData!$G$1:$G$100,0),MATCH(--MID(B20,3,10),--LEFT(RawData!$A$1:$ZZ$1,3),0)),3)),"--")</f>
        <v>--</v>
      </c>
      <c r="Y20" s="548"/>
      <c r="Z20" s="548"/>
      <c r="AA20" s="549"/>
      <c r="AB20" s="550" t="str">
        <f t="shared" ref="AB20:AB36" ca="1" si="2">IFERROR(IF(OR(D20="--",D20="keyIn"),"--",IF((X20-$S20)*$O$7*V20/$E$7/1000&lt;$D20,"ND",(X20-$S20)*$O$7*V20/$E$7/1000)),"--")</f>
        <v>--</v>
      </c>
      <c r="AC20" s="550"/>
      <c r="AD20" s="550"/>
      <c r="AE20" s="551"/>
      <c r="AF20" s="57"/>
      <c r="AG20" s="530" t="str">
        <f t="shared" ref="AG20:AG36" ca="1" si="3">IF(I20=1,$AG$18,CONCATENATE($AG$18&amp;"D"&amp;I20))</f>
        <v>C0YYYY/MM/DD-FD--</v>
      </c>
      <c r="AH20" s="531"/>
      <c r="AI20" s="531"/>
      <c r="AJ20" s="369"/>
      <c r="AK20" s="530" t="str">
        <f ca="1">IF(I20=1,WorkSheet!$AF$39,CONCATENATE(WorkSheet!$AF$39&amp;"D"&amp;I20))</f>
        <v>--D--</v>
      </c>
      <c r="AL20" s="531"/>
      <c r="AM20" s="531"/>
      <c r="AN20" s="369"/>
      <c r="AO20" s="530" t="str">
        <f t="shared" ref="AO20:AO36" si="4">IF(V20=1,$AO$18,CONCATENATE($AO$18&amp;"D"&amp;V20))</f>
        <v>C0YYYY/MM/DD-FD--</v>
      </c>
      <c r="AP20" s="531"/>
      <c r="AQ20" s="531"/>
      <c r="AR20" s="369"/>
      <c r="AS20" s="530" t="str">
        <f>IF(V20=1,WorkSheet!$AF$39,CONCATENATE(WorkSheet!$AF$39&amp;"D"&amp;V20))</f>
        <v>--D--</v>
      </c>
      <c r="AT20" s="531"/>
      <c r="AU20" s="531"/>
      <c r="AV20" s="369"/>
      <c r="BI20" s="68"/>
      <c r="BJ20" s="68"/>
      <c r="BK20" s="68"/>
      <c r="BL20" s="68"/>
      <c r="BQ20" s="559"/>
      <c r="BR20" s="559"/>
      <c r="BS20" s="559"/>
      <c r="BT20" s="559"/>
    </row>
    <row r="21" spans="1:72" ht="15" customHeight="1" x14ac:dyDescent="0.25">
      <c r="A21" s="72" t="str">
        <f ca="1">IF(B21="--",$AG$4,IF(INDEX(測試方法!$A$1:$AZ$98,MATCH($D$5,測試方法!$A$1:$A$98,0),MATCH(B21,測試方法!$A$2:$AZ$2,0))="",$AG$6,$AG$5))</f>
        <v>□</v>
      </c>
      <c r="B21" s="552" t="str">
        <f ca="1">IF(樣品清單!AF$22="","--",樣品清單!AF$22)</f>
        <v>--</v>
      </c>
      <c r="C21" s="553"/>
      <c r="D21" s="554" t="str">
        <f ca="1">IFERROR(IF(INDEX(測試方法!$A$1:$AZ$98,MATCH(sample20!$D$5,測試方法!$A$1:$A$98,0),MATCH(sample20!B21,測試方法!$A$2:$AZ$2,0))&lt;&gt;"",INDEX(測試方法!$A$1:$AZ$98,MATCH(sample20!$D$5,測試方法!$A$1:$A$98,0),MATCH(sample20!B21,測試方法!$A$2:$AZ$2,0)),"KeyIn"),"--")</f>
        <v>--</v>
      </c>
      <c r="E21" s="553"/>
      <c r="F21" s="555" t="str" cm="1">
        <f t="array" aca="1" ref="F21" ca="1">IFERROR(IF(INDEX(RawData!$A$1:$ZZ$100,MATCH($AG21,RawData!$G$1:$G$100,0),MATCH(--MID(B21,3,10),--LEFT(RawData!$A$1:$ZZ$1,3),0))="&lt;0.000",0,ROUND(INDEX(RawData!$A$1:$ZZ$100,MATCH($AG21,RawData!$G$1:$G$100,0),MATCH(--MID(B21,3,10),--LEFT(RawData!$A$1:$ZZ$1,3),0)),3)),"--")</f>
        <v>--</v>
      </c>
      <c r="G21" s="548"/>
      <c r="H21" s="549"/>
      <c r="I21" s="556" t="str">
        <f t="shared" ca="1" si="0"/>
        <v>--</v>
      </c>
      <c r="J21" s="557"/>
      <c r="K21" s="547" t="str" cm="1">
        <f t="array" aca="1" ref="K21" ca="1">IFERROR(IF(INDEX(RawData!$A$1:$ZZ$100,MATCH($AK21,RawData!$G$1:$G$100,0),MATCH(--MID(B21,3,10),--LEFT(RawData!$A$1:$ZZ$1,3),0))="&lt;0.000",0,ROUND(INDEX(RawData!$A$1:$ZZ$100,MATCH($AK21,RawData!$G$1:$G$100,0),MATCH(--MID(B21,3,10),--LEFT(RawData!$A$1:$ZZ$1,3),0)),3)),"--")</f>
        <v>--</v>
      </c>
      <c r="L21" s="548"/>
      <c r="M21" s="548"/>
      <c r="N21" s="549"/>
      <c r="O21" s="550" t="str">
        <f t="shared" ca="1" si="1"/>
        <v>--</v>
      </c>
      <c r="P21" s="550"/>
      <c r="Q21" s="550"/>
      <c r="R21" s="551"/>
      <c r="S21" s="555" t="str">
        <f t="array" aca="1" ref="S21" ca="1">IFERROR(IF(INDEX(RawData!$A$1:$ZZ$100,MATCH($AO21,RawData!$G$1:$G$100,0),MATCH(--MID(B21,3,10),--LEFT(RawData!$A$1:$ZZ$1,3),0))="&lt;0.000",0,ROUND(INDEX(RawData!$A$1:$ZZ$100,MATCH($AO21,RawData!$G$1:$G$100,0),MATCH(--MID(B21,3,10),--LEFT(RawData!$A$1:$ZZ$1,3),0)),3)),"--")</f>
        <v>--</v>
      </c>
      <c r="T21" s="548"/>
      <c r="U21" s="549"/>
      <c r="V21" s="558" t="s">
        <v>97</v>
      </c>
      <c r="W21" s="558"/>
      <c r="X21" s="547" t="str">
        <f t="array" aca="1" ref="X21" ca="1">IFERROR(IF(INDEX(RawData!$A$1:$ZZ$100,MATCH($AS21,RawData!$G$1:$G$100,0),MATCH(--MID(B21,3,10),--LEFT(RawData!$A$1:$ZZ$1,3),0))="&lt;0.000",0,ROUND(INDEX(RawData!$A$1:$ZZ$100,MATCH($AS21,RawData!$G$1:$G$100,0),MATCH(--MID(B21,3,10),--LEFT(RawData!$A$1:$ZZ$1,3),0)),3)),"--")</f>
        <v>--</v>
      </c>
      <c r="Y21" s="548"/>
      <c r="Z21" s="548"/>
      <c r="AA21" s="549"/>
      <c r="AB21" s="550" t="str">
        <f t="shared" ca="1" si="2"/>
        <v>--</v>
      </c>
      <c r="AC21" s="550"/>
      <c r="AD21" s="550"/>
      <c r="AE21" s="551"/>
      <c r="AF21" s="57"/>
      <c r="AG21" s="530" t="str">
        <f t="shared" ca="1" si="3"/>
        <v>C0YYYY/MM/DD-FD--</v>
      </c>
      <c r="AH21" s="531"/>
      <c r="AI21" s="531"/>
      <c r="AJ21" s="369"/>
      <c r="AK21" s="530" t="str">
        <f ca="1">IF(I21=1,WorkSheet!$AF$39,CONCATENATE(WorkSheet!$AF$39&amp;"D"&amp;I21))</f>
        <v>--D--</v>
      </c>
      <c r="AL21" s="531"/>
      <c r="AM21" s="531"/>
      <c r="AN21" s="369"/>
      <c r="AO21" s="530" t="str">
        <f t="shared" si="4"/>
        <v>C0YYYY/MM/DD-FD--</v>
      </c>
      <c r="AP21" s="531"/>
      <c r="AQ21" s="531"/>
      <c r="AR21" s="369"/>
      <c r="AS21" s="530" t="str">
        <f>IF(V21=1,WorkSheet!$AF$39,CONCATENATE(WorkSheet!$AF$39&amp;"D"&amp;V21))</f>
        <v>--D--</v>
      </c>
      <c r="AT21" s="531"/>
      <c r="AU21" s="531"/>
      <c r="AV21" s="369"/>
      <c r="BI21" s="11"/>
      <c r="BJ21" s="11"/>
      <c r="BK21" s="11"/>
      <c r="BL21" s="11"/>
      <c r="BQ21" s="12"/>
      <c r="BR21" s="12"/>
      <c r="BS21" s="12"/>
      <c r="BT21" s="12"/>
    </row>
    <row r="22" spans="1:72" ht="15" customHeight="1" x14ac:dyDescent="0.25">
      <c r="A22" s="72" t="str">
        <f ca="1">IF(B22="--",$AG$4,IF(INDEX(測試方法!$A$1:$AZ$98,MATCH($D$5,測試方法!$A$1:$A$98,0),MATCH(B22,測試方法!$A$2:$AZ$2,0))="",$AG$6,$AG$5))</f>
        <v>□</v>
      </c>
      <c r="B22" s="552" t="str">
        <f ca="1">IF(樣品清單!AG$22="","--",樣品清單!AG$22)</f>
        <v>--</v>
      </c>
      <c r="C22" s="553"/>
      <c r="D22" s="554" t="str">
        <f ca="1">IFERROR(IF(INDEX(測試方法!$A$1:$AZ$98,MATCH(sample20!$D$5,測試方法!$A$1:$A$98,0),MATCH(sample20!B22,測試方法!$A$2:$AZ$2,0))&lt;&gt;"",INDEX(測試方法!$A$1:$AZ$98,MATCH(sample20!$D$5,測試方法!$A$1:$A$98,0),MATCH(sample20!B22,測試方法!$A$2:$AZ$2,0)),"KeyIn"),"--")</f>
        <v>--</v>
      </c>
      <c r="E22" s="553"/>
      <c r="F22" s="555" t="str" cm="1">
        <f t="array" aca="1" ref="F22" ca="1">IFERROR(IF(INDEX(RawData!$A$1:$ZZ$100,MATCH($AG22,RawData!$G$1:$G$100,0),MATCH(--MID(B22,3,10),--LEFT(RawData!$A$1:$ZZ$1,3),0))="&lt;0.000",0,ROUND(INDEX(RawData!$A$1:$ZZ$100,MATCH($AG22,RawData!$G$1:$G$100,0),MATCH(--MID(B22,3,10),--LEFT(RawData!$A$1:$ZZ$1,3),0)),3)),"--")</f>
        <v>--</v>
      </c>
      <c r="G22" s="548"/>
      <c r="H22" s="549"/>
      <c r="I22" s="556" t="str">
        <f t="shared" ca="1" si="0"/>
        <v>--</v>
      </c>
      <c r="J22" s="557"/>
      <c r="K22" s="547" t="str" cm="1">
        <f t="array" aca="1" ref="K22" ca="1">IFERROR(IF(INDEX(RawData!$A$1:$ZZ$100,MATCH($AK22,RawData!$G$1:$G$100,0),MATCH(--MID(B22,3,10),--LEFT(RawData!$A$1:$ZZ$1,3),0))="&lt;0.000",0,ROUND(INDEX(RawData!$A$1:$ZZ$100,MATCH($AK22,RawData!$G$1:$G$100,0),MATCH(--MID(B22,3,10),--LEFT(RawData!$A$1:$ZZ$1,3),0)),3)),"--")</f>
        <v>--</v>
      </c>
      <c r="L22" s="548"/>
      <c r="M22" s="548"/>
      <c r="N22" s="549"/>
      <c r="O22" s="550" t="str">
        <f t="shared" ca="1" si="1"/>
        <v>--</v>
      </c>
      <c r="P22" s="550"/>
      <c r="Q22" s="550"/>
      <c r="R22" s="551"/>
      <c r="S22" s="555" t="str">
        <f t="array" aca="1" ref="S22" ca="1">IFERROR(IF(INDEX(RawData!$A$1:$ZZ$100,MATCH($AO22,RawData!$G$1:$G$100,0),MATCH(--MID(B22,3,10),--LEFT(RawData!$A$1:$ZZ$1,3),0))="&lt;0.000",0,ROUND(INDEX(RawData!$A$1:$ZZ$100,MATCH($AO22,RawData!$G$1:$G$100,0),MATCH(--MID(B22,3,10),--LEFT(RawData!$A$1:$ZZ$1,3),0)),3)),"--")</f>
        <v>--</v>
      </c>
      <c r="T22" s="548"/>
      <c r="U22" s="549"/>
      <c r="V22" s="558" t="s">
        <v>97</v>
      </c>
      <c r="W22" s="558"/>
      <c r="X22" s="547" t="str">
        <f t="array" aca="1" ref="X22" ca="1">IFERROR(IF(INDEX(RawData!$A$1:$ZZ$100,MATCH($AS22,RawData!$G$1:$G$100,0),MATCH(--MID(B22,3,10),--LEFT(RawData!$A$1:$ZZ$1,3),0))="&lt;0.000",0,ROUND(INDEX(RawData!$A$1:$ZZ$100,MATCH($AS22,RawData!$G$1:$G$100,0),MATCH(--MID(B22,3,10),--LEFT(RawData!$A$1:$ZZ$1,3),0)),3)),"--")</f>
        <v>--</v>
      </c>
      <c r="Y22" s="548"/>
      <c r="Z22" s="548"/>
      <c r="AA22" s="549"/>
      <c r="AB22" s="550" t="str">
        <f t="shared" ca="1" si="2"/>
        <v>--</v>
      </c>
      <c r="AC22" s="550"/>
      <c r="AD22" s="550"/>
      <c r="AE22" s="551"/>
      <c r="AF22" s="57"/>
      <c r="AG22" s="530" t="str">
        <f t="shared" ca="1" si="3"/>
        <v>C0YYYY/MM/DD-FD--</v>
      </c>
      <c r="AH22" s="531"/>
      <c r="AI22" s="531"/>
      <c r="AJ22" s="369"/>
      <c r="AK22" s="530" t="str">
        <f ca="1">IF(I22=1,WorkSheet!$AF$39,CONCATENATE(WorkSheet!$AF$39&amp;"D"&amp;I22))</f>
        <v>--D--</v>
      </c>
      <c r="AL22" s="531"/>
      <c r="AM22" s="531"/>
      <c r="AN22" s="369"/>
      <c r="AO22" s="530" t="str">
        <f t="shared" si="4"/>
        <v>C0YYYY/MM/DD-FD--</v>
      </c>
      <c r="AP22" s="531"/>
      <c r="AQ22" s="531"/>
      <c r="AR22" s="369"/>
      <c r="AS22" s="530" t="str">
        <f>IF(V22=1,WorkSheet!$AF$39,CONCATENATE(WorkSheet!$AF$39&amp;"D"&amp;V22))</f>
        <v>--D--</v>
      </c>
      <c r="AT22" s="531"/>
      <c r="AU22" s="531"/>
      <c r="AV22" s="369"/>
      <c r="BI22" s="11"/>
      <c r="BJ22" s="11"/>
      <c r="BK22" s="11"/>
      <c r="BP22" s="12"/>
      <c r="BQ22" s="12"/>
      <c r="BR22" s="12"/>
      <c r="BS22" s="12"/>
    </row>
    <row r="23" spans="1:72" ht="15" customHeight="1" x14ac:dyDescent="0.25">
      <c r="A23" s="72" t="str">
        <f ca="1">IF(B23="--",$AG$4,IF(INDEX(測試方法!$A$1:$AZ$98,MATCH($D$5,測試方法!$A$1:$A$98,0),MATCH(B23,測試方法!$A$2:$AZ$2,0))="",$AG$6,$AG$5))</f>
        <v>□</v>
      </c>
      <c r="B23" s="552" t="str">
        <f ca="1">IF(樣品清單!AH$22="","--",樣品清單!AH$22)</f>
        <v>--</v>
      </c>
      <c r="C23" s="553"/>
      <c r="D23" s="554" t="str">
        <f ca="1">IFERROR(IF(INDEX(測試方法!$A$1:$AZ$98,MATCH(sample20!$D$5,測試方法!$A$1:$A$98,0),MATCH(sample20!B23,測試方法!$A$2:$AZ$2,0))&lt;&gt;"",INDEX(測試方法!$A$1:$AZ$98,MATCH(sample20!$D$5,測試方法!$A$1:$A$98,0),MATCH(sample20!B23,測試方法!$A$2:$AZ$2,0)),"KeyIn"),"--")</f>
        <v>--</v>
      </c>
      <c r="E23" s="553"/>
      <c r="F23" s="555" t="str" cm="1">
        <f t="array" aca="1" ref="F23" ca="1">IFERROR(IF(INDEX(RawData!$A$1:$ZZ$100,MATCH($AG23,RawData!$G$1:$G$100,0),MATCH(--MID(B23,3,10),--LEFT(RawData!$A$1:$ZZ$1,3),0))="&lt;0.000",0,ROUND(INDEX(RawData!$A$1:$ZZ$100,MATCH($AG23,RawData!$G$1:$G$100,0),MATCH(--MID(B23,3,10),--LEFT(RawData!$A$1:$ZZ$1,3),0)),3)),"--")</f>
        <v>--</v>
      </c>
      <c r="G23" s="548"/>
      <c r="H23" s="549"/>
      <c r="I23" s="556" t="str">
        <f t="shared" ca="1" si="0"/>
        <v>--</v>
      </c>
      <c r="J23" s="557"/>
      <c r="K23" s="547" t="str" cm="1">
        <f t="array" aca="1" ref="K23" ca="1">IFERROR(IF(INDEX(RawData!$A$1:$ZZ$100,MATCH($AK23,RawData!$G$1:$G$100,0),MATCH(--MID(B23,3,10),--LEFT(RawData!$A$1:$ZZ$1,3),0))="&lt;0.000",0,ROUND(INDEX(RawData!$A$1:$ZZ$100,MATCH($AK23,RawData!$G$1:$G$100,0),MATCH(--MID(B23,3,10),--LEFT(RawData!$A$1:$ZZ$1,3),0)),3)),"--")</f>
        <v>--</v>
      </c>
      <c r="L23" s="548"/>
      <c r="M23" s="548"/>
      <c r="N23" s="549"/>
      <c r="O23" s="550" t="str">
        <f t="shared" ca="1" si="1"/>
        <v>--</v>
      </c>
      <c r="P23" s="550"/>
      <c r="Q23" s="550"/>
      <c r="R23" s="551"/>
      <c r="S23" s="555" t="str">
        <f t="array" aca="1" ref="S23" ca="1">IFERROR(IF(INDEX(RawData!$A$1:$ZZ$100,MATCH($AO23,RawData!$G$1:$G$100,0),MATCH(--MID(B23,3,10),--LEFT(RawData!$A$1:$ZZ$1,3),0))="&lt;0.000",0,ROUND(INDEX(RawData!$A$1:$ZZ$100,MATCH($AO23,RawData!$G$1:$G$100,0),MATCH(--MID(B23,3,10),--LEFT(RawData!$A$1:$ZZ$1,3),0)),3)),"--")</f>
        <v>--</v>
      </c>
      <c r="T23" s="548"/>
      <c r="U23" s="549"/>
      <c r="V23" s="558" t="s">
        <v>97</v>
      </c>
      <c r="W23" s="558"/>
      <c r="X23" s="547" t="str">
        <f t="array" aca="1" ref="X23" ca="1">IFERROR(IF(INDEX(RawData!$A$1:$ZZ$100,MATCH($AS23,RawData!$G$1:$G$100,0),MATCH(--MID(B23,3,10),--LEFT(RawData!$A$1:$ZZ$1,3),0))="&lt;0.000",0,ROUND(INDEX(RawData!$A$1:$ZZ$100,MATCH($AS23,RawData!$G$1:$G$100,0),MATCH(--MID(B23,3,10),--LEFT(RawData!$A$1:$ZZ$1,3),0)),3)),"--")</f>
        <v>--</v>
      </c>
      <c r="Y23" s="548"/>
      <c r="Z23" s="548"/>
      <c r="AA23" s="549"/>
      <c r="AB23" s="550" t="str">
        <f t="shared" ca="1" si="2"/>
        <v>--</v>
      </c>
      <c r="AC23" s="550"/>
      <c r="AD23" s="550"/>
      <c r="AE23" s="551"/>
      <c r="AF23" s="57"/>
      <c r="AG23" s="530" t="str">
        <f t="shared" ca="1" si="3"/>
        <v>C0YYYY/MM/DD-FD--</v>
      </c>
      <c r="AH23" s="531"/>
      <c r="AI23" s="531"/>
      <c r="AJ23" s="369"/>
      <c r="AK23" s="530" t="str">
        <f ca="1">IF(I23=1,WorkSheet!$AF$39,CONCATENATE(WorkSheet!$AF$39&amp;"D"&amp;I23))</f>
        <v>--D--</v>
      </c>
      <c r="AL23" s="531"/>
      <c r="AM23" s="531"/>
      <c r="AN23" s="369"/>
      <c r="AO23" s="530" t="str">
        <f t="shared" si="4"/>
        <v>C0YYYY/MM/DD-FD--</v>
      </c>
      <c r="AP23" s="531"/>
      <c r="AQ23" s="531"/>
      <c r="AR23" s="369"/>
      <c r="AS23" s="530" t="str">
        <f>IF(V23=1,WorkSheet!$AF$39,CONCATENATE(WorkSheet!$AF$39&amp;"D"&amp;V23))</f>
        <v>--D--</v>
      </c>
      <c r="AT23" s="531"/>
      <c r="AU23" s="531"/>
      <c r="AV23" s="369"/>
    </row>
    <row r="24" spans="1:72" ht="15" customHeight="1" x14ac:dyDescent="0.25">
      <c r="A24" s="72" t="str">
        <f ca="1">IF(B24="--",$AG$4,IF(INDEX(測試方法!$A$1:$AZ$98,MATCH($D$5,測試方法!$A$1:$A$98,0),MATCH(B24,測試方法!$A$2:$AZ$2,0))="",$AG$6,$AG$5))</f>
        <v>□</v>
      </c>
      <c r="B24" s="552" t="str">
        <f ca="1">IF(樣品清單!AI$22="","--",樣品清單!AI$22)</f>
        <v>--</v>
      </c>
      <c r="C24" s="553"/>
      <c r="D24" s="554" t="str">
        <f ca="1">IFERROR(IF(INDEX(測試方法!$A$1:$AZ$98,MATCH(sample20!$D$5,測試方法!$A$1:$A$98,0),MATCH(sample20!B24,測試方法!$A$2:$AZ$2,0))&lt;&gt;"",INDEX(測試方法!$A$1:$AZ$98,MATCH(sample20!$D$5,測試方法!$A$1:$A$98,0),MATCH(sample20!B24,測試方法!$A$2:$AZ$2,0)),"KeyIn"),"--")</f>
        <v>--</v>
      </c>
      <c r="E24" s="553"/>
      <c r="F24" s="555" t="str" cm="1">
        <f t="array" aca="1" ref="F24" ca="1">IFERROR(IF(INDEX(RawData!$A$1:$ZZ$100,MATCH($AG24,RawData!$G$1:$G$100,0),MATCH(--MID(B24,3,10),--LEFT(RawData!$A$1:$ZZ$1,3),0))="&lt;0.000",0,ROUND(INDEX(RawData!$A$1:$ZZ$100,MATCH($AG24,RawData!$G$1:$G$100,0),MATCH(--MID(B24,3,10),--LEFT(RawData!$A$1:$ZZ$1,3),0)),3)),"--")</f>
        <v>--</v>
      </c>
      <c r="G24" s="548"/>
      <c r="H24" s="549"/>
      <c r="I24" s="556" t="str">
        <f t="shared" ca="1" si="0"/>
        <v>--</v>
      </c>
      <c r="J24" s="557"/>
      <c r="K24" s="547" t="str" cm="1">
        <f t="array" aca="1" ref="K24" ca="1">IFERROR(IF(INDEX(RawData!$A$1:$ZZ$100,MATCH($AK24,RawData!$G$1:$G$100,0),MATCH(--MID(B24,3,10),--LEFT(RawData!$A$1:$ZZ$1,3),0))="&lt;0.000",0,ROUND(INDEX(RawData!$A$1:$ZZ$100,MATCH($AK24,RawData!$G$1:$G$100,0),MATCH(--MID(B24,3,10),--LEFT(RawData!$A$1:$ZZ$1,3),0)),3)),"--")</f>
        <v>--</v>
      </c>
      <c r="L24" s="548"/>
      <c r="M24" s="548"/>
      <c r="N24" s="549"/>
      <c r="O24" s="550" t="str">
        <f t="shared" ca="1" si="1"/>
        <v>--</v>
      </c>
      <c r="P24" s="550"/>
      <c r="Q24" s="550"/>
      <c r="R24" s="551"/>
      <c r="S24" s="555" t="str">
        <f t="array" aca="1" ref="S24" ca="1">IFERROR(IF(INDEX(RawData!$A$1:$ZZ$100,MATCH($AO24,RawData!$G$1:$G$100,0),MATCH(--MID(B24,3,10),--LEFT(RawData!$A$1:$ZZ$1,3),0))="&lt;0.000",0,ROUND(INDEX(RawData!$A$1:$ZZ$100,MATCH($AO24,RawData!$G$1:$G$100,0),MATCH(--MID(B24,3,10),--LEFT(RawData!$A$1:$ZZ$1,3),0)),3)),"--")</f>
        <v>--</v>
      </c>
      <c r="T24" s="548"/>
      <c r="U24" s="549"/>
      <c r="V24" s="558" t="s">
        <v>97</v>
      </c>
      <c r="W24" s="558"/>
      <c r="X24" s="547" t="str">
        <f t="array" aca="1" ref="X24" ca="1">IFERROR(IF(INDEX(RawData!$A$1:$ZZ$100,MATCH($AS24,RawData!$G$1:$G$100,0),MATCH(--MID(B24,3,10),--LEFT(RawData!$A$1:$ZZ$1,3),0))="&lt;0.000",0,ROUND(INDEX(RawData!$A$1:$ZZ$100,MATCH($AS24,RawData!$G$1:$G$100,0),MATCH(--MID(B24,3,10),--LEFT(RawData!$A$1:$ZZ$1,3),0)),3)),"--")</f>
        <v>--</v>
      </c>
      <c r="Y24" s="548"/>
      <c r="Z24" s="548"/>
      <c r="AA24" s="549"/>
      <c r="AB24" s="550" t="str">
        <f t="shared" ca="1" si="2"/>
        <v>--</v>
      </c>
      <c r="AC24" s="550"/>
      <c r="AD24" s="550"/>
      <c r="AE24" s="551"/>
      <c r="AF24" s="57"/>
      <c r="AG24" s="530" t="str">
        <f t="shared" ca="1" si="3"/>
        <v>C0YYYY/MM/DD-FD--</v>
      </c>
      <c r="AH24" s="531"/>
      <c r="AI24" s="531"/>
      <c r="AJ24" s="369"/>
      <c r="AK24" s="530" t="str">
        <f ca="1">IF(I24=1,WorkSheet!$AF$39,CONCATENATE(WorkSheet!$AF$39&amp;"D"&amp;I24))</f>
        <v>--D--</v>
      </c>
      <c r="AL24" s="531"/>
      <c r="AM24" s="531"/>
      <c r="AN24" s="369"/>
      <c r="AO24" s="530" t="str">
        <f t="shared" si="4"/>
        <v>C0YYYY/MM/DD-FD--</v>
      </c>
      <c r="AP24" s="531"/>
      <c r="AQ24" s="531"/>
      <c r="AR24" s="369"/>
      <c r="AS24" s="530" t="str">
        <f>IF(V24=1,WorkSheet!$AF$39,CONCATENATE(WorkSheet!$AF$39&amp;"D"&amp;V24))</f>
        <v>--D--</v>
      </c>
      <c r="AT24" s="531"/>
      <c r="AU24" s="531"/>
      <c r="AV24" s="369"/>
    </row>
    <row r="25" spans="1:72" ht="15" customHeight="1" x14ac:dyDescent="0.25">
      <c r="A25" s="72" t="str">
        <f ca="1">IF(B25="--",$AG$4,IF(INDEX(測試方法!$A$1:$AZ$98,MATCH($D$5,測試方法!$A$1:$A$98,0),MATCH(B25,測試方法!$A$2:$AZ$2,0))="",$AG$6,$AG$5))</f>
        <v>□</v>
      </c>
      <c r="B25" s="552" t="str">
        <f ca="1">IF(樣品清單!AJ$22="","--",樣品清單!AJ$22)</f>
        <v>--</v>
      </c>
      <c r="C25" s="553"/>
      <c r="D25" s="554" t="str">
        <f ca="1">IFERROR(IF(INDEX(測試方法!$A$1:$AZ$98,MATCH(sample20!$D$5,測試方法!$A$1:$A$98,0),MATCH(sample20!B25,測試方法!$A$2:$AZ$2,0))&lt;&gt;"",INDEX(測試方法!$A$1:$AZ$98,MATCH(sample20!$D$5,測試方法!$A$1:$A$98,0),MATCH(sample20!B25,測試方法!$A$2:$AZ$2,0)),"KeyIn"),"--")</f>
        <v>--</v>
      </c>
      <c r="E25" s="553"/>
      <c r="F25" s="555" t="str" cm="1">
        <f t="array" aca="1" ref="F25" ca="1">IFERROR(IF(INDEX(RawData!$A$1:$ZZ$100,MATCH($AG25,RawData!$G$1:$G$100,0),MATCH(--MID(B25,3,10),--LEFT(RawData!$A$1:$ZZ$1,3),0))="&lt;0.000",0,ROUND(INDEX(RawData!$A$1:$ZZ$100,MATCH($AG25,RawData!$G$1:$G$100,0),MATCH(--MID(B25,3,10),--LEFT(RawData!$A$1:$ZZ$1,3),0)),3)),"--")</f>
        <v>--</v>
      </c>
      <c r="G25" s="548"/>
      <c r="H25" s="549"/>
      <c r="I25" s="556" t="str">
        <f t="shared" ca="1" si="0"/>
        <v>--</v>
      </c>
      <c r="J25" s="557"/>
      <c r="K25" s="547" t="str" cm="1">
        <f t="array" aca="1" ref="K25" ca="1">IFERROR(IF(INDEX(RawData!$A$1:$ZZ$100,MATCH($AK25,RawData!$G$1:$G$100,0),MATCH(--MID(B25,3,10),--LEFT(RawData!$A$1:$ZZ$1,3),0))="&lt;0.000",0,ROUND(INDEX(RawData!$A$1:$ZZ$100,MATCH($AK25,RawData!$G$1:$G$100,0),MATCH(--MID(B25,3,10),--LEFT(RawData!$A$1:$ZZ$1,3),0)),3)),"--")</f>
        <v>--</v>
      </c>
      <c r="L25" s="548"/>
      <c r="M25" s="548"/>
      <c r="N25" s="549"/>
      <c r="O25" s="550" t="str">
        <f t="shared" ca="1" si="1"/>
        <v>--</v>
      </c>
      <c r="P25" s="550"/>
      <c r="Q25" s="550"/>
      <c r="R25" s="551"/>
      <c r="S25" s="555" t="str">
        <f t="array" aca="1" ref="S25" ca="1">IFERROR(IF(INDEX(RawData!$A$1:$ZZ$100,MATCH($AO25,RawData!$G$1:$G$100,0),MATCH(--MID(B25,3,10),--LEFT(RawData!$A$1:$ZZ$1,3),0))="&lt;0.000",0,ROUND(INDEX(RawData!$A$1:$ZZ$100,MATCH($AO25,RawData!$G$1:$G$100,0),MATCH(--MID(B25,3,10),--LEFT(RawData!$A$1:$ZZ$1,3),0)),3)),"--")</f>
        <v>--</v>
      </c>
      <c r="T25" s="548"/>
      <c r="U25" s="549"/>
      <c r="V25" s="558" t="s">
        <v>97</v>
      </c>
      <c r="W25" s="558"/>
      <c r="X25" s="547" t="str">
        <f t="array" aca="1" ref="X25" ca="1">IFERROR(IF(INDEX(RawData!$A$1:$ZZ$100,MATCH($AS25,RawData!$G$1:$G$100,0),MATCH(--MID(B25,3,10),--LEFT(RawData!$A$1:$ZZ$1,3),0))="&lt;0.000",0,ROUND(INDEX(RawData!$A$1:$ZZ$100,MATCH($AS25,RawData!$G$1:$G$100,0),MATCH(--MID(B25,3,10),--LEFT(RawData!$A$1:$ZZ$1,3),0)),3)),"--")</f>
        <v>--</v>
      </c>
      <c r="Y25" s="548"/>
      <c r="Z25" s="548"/>
      <c r="AA25" s="549"/>
      <c r="AB25" s="550" t="str">
        <f t="shared" ca="1" si="2"/>
        <v>--</v>
      </c>
      <c r="AC25" s="550"/>
      <c r="AD25" s="550"/>
      <c r="AE25" s="551"/>
      <c r="AF25" s="57"/>
      <c r="AG25" s="530" t="str">
        <f t="shared" ca="1" si="3"/>
        <v>C0YYYY/MM/DD-FD--</v>
      </c>
      <c r="AH25" s="531"/>
      <c r="AI25" s="531"/>
      <c r="AJ25" s="369"/>
      <c r="AK25" s="530" t="str">
        <f ca="1">IF(I25=1,WorkSheet!$AF$39,CONCATENATE(WorkSheet!$AF$39&amp;"D"&amp;I25))</f>
        <v>--D--</v>
      </c>
      <c r="AL25" s="531"/>
      <c r="AM25" s="531"/>
      <c r="AN25" s="369"/>
      <c r="AO25" s="530" t="str">
        <f t="shared" si="4"/>
        <v>C0YYYY/MM/DD-FD--</v>
      </c>
      <c r="AP25" s="531"/>
      <c r="AQ25" s="531"/>
      <c r="AR25" s="369"/>
      <c r="AS25" s="530" t="str">
        <f>IF(V25=1,WorkSheet!$AF$39,CONCATENATE(WorkSheet!$AF$39&amp;"D"&amp;V25))</f>
        <v>--D--</v>
      </c>
      <c r="AT25" s="531"/>
      <c r="AU25" s="531"/>
      <c r="AV25" s="369"/>
    </row>
    <row r="26" spans="1:72" ht="15" customHeight="1" x14ac:dyDescent="0.25">
      <c r="A26" s="72" t="str">
        <f ca="1">IF(B26="--",$AG$4,IF(INDEX(測試方法!$A$1:$AZ$98,MATCH($D$5,測試方法!$A$1:$A$98,0),MATCH(B26,測試方法!$A$2:$AZ$2,0))="",$AG$6,$AG$5))</f>
        <v>□</v>
      </c>
      <c r="B26" s="552" t="str">
        <f ca="1">IF(樣品清單!AK$22="","--",樣品清單!AK$22)</f>
        <v>--</v>
      </c>
      <c r="C26" s="553"/>
      <c r="D26" s="554" t="str">
        <f ca="1">IFERROR(IF(INDEX(測試方法!$A$1:$AZ$98,MATCH(sample20!$D$5,測試方法!$A$1:$A$98,0),MATCH(sample20!B26,測試方法!$A$2:$AZ$2,0))&lt;&gt;"",INDEX(測試方法!$A$1:$AZ$98,MATCH(sample20!$D$5,測試方法!$A$1:$A$98,0),MATCH(sample20!B26,測試方法!$A$2:$AZ$2,0)),"KeyIn"),"--")</f>
        <v>--</v>
      </c>
      <c r="E26" s="553"/>
      <c r="F26" s="555" t="str" cm="1">
        <f t="array" aca="1" ref="F26" ca="1">IFERROR(IF(INDEX(RawData!$A$1:$ZZ$100,MATCH($AG26,RawData!$G$1:$G$100,0),MATCH(--MID(B26,3,10),--LEFT(RawData!$A$1:$ZZ$1,3),0))="&lt;0.000",0,ROUND(INDEX(RawData!$A$1:$ZZ$100,MATCH($AG26,RawData!$G$1:$G$100,0),MATCH(--MID(B26,3,10),--LEFT(RawData!$A$1:$ZZ$1,3),0)),3)),"--")</f>
        <v>--</v>
      </c>
      <c r="G26" s="548"/>
      <c r="H26" s="549"/>
      <c r="I26" s="556" t="str">
        <f t="shared" ca="1" si="0"/>
        <v>--</v>
      </c>
      <c r="J26" s="557"/>
      <c r="K26" s="547" t="str" cm="1">
        <f t="array" aca="1" ref="K26" ca="1">IFERROR(IF(INDEX(RawData!$A$1:$ZZ$100,MATCH($AK26,RawData!$G$1:$G$100,0),MATCH(--MID(B26,3,10),--LEFT(RawData!$A$1:$ZZ$1,3),0))="&lt;0.000",0,ROUND(INDEX(RawData!$A$1:$ZZ$100,MATCH($AK26,RawData!$G$1:$G$100,0),MATCH(--MID(B26,3,10),--LEFT(RawData!$A$1:$ZZ$1,3),0)),3)),"--")</f>
        <v>--</v>
      </c>
      <c r="L26" s="548"/>
      <c r="M26" s="548"/>
      <c r="N26" s="549"/>
      <c r="O26" s="550" t="str">
        <f t="shared" ca="1" si="1"/>
        <v>--</v>
      </c>
      <c r="P26" s="550"/>
      <c r="Q26" s="550"/>
      <c r="R26" s="551"/>
      <c r="S26" s="555" t="str">
        <f t="array" aca="1" ref="S26" ca="1">IFERROR(IF(INDEX(RawData!$A$1:$ZZ$100,MATCH($AO26,RawData!$G$1:$G$100,0),MATCH(--MID(B26,3,10),--LEFT(RawData!$A$1:$ZZ$1,3),0))="&lt;0.000",0,ROUND(INDEX(RawData!$A$1:$ZZ$100,MATCH($AO26,RawData!$G$1:$G$100,0),MATCH(--MID(B26,3,10),--LEFT(RawData!$A$1:$ZZ$1,3),0)),3)),"--")</f>
        <v>--</v>
      </c>
      <c r="T26" s="548"/>
      <c r="U26" s="549"/>
      <c r="V26" s="558" t="s">
        <v>97</v>
      </c>
      <c r="W26" s="558"/>
      <c r="X26" s="547" t="str">
        <f t="array" aca="1" ref="X26" ca="1">IFERROR(IF(INDEX(RawData!$A$1:$ZZ$100,MATCH($AS26,RawData!$G$1:$G$100,0),MATCH(--MID(B26,3,10),--LEFT(RawData!$A$1:$ZZ$1,3),0))="&lt;0.000",0,ROUND(INDEX(RawData!$A$1:$ZZ$100,MATCH($AS26,RawData!$G$1:$G$100,0),MATCH(--MID(B26,3,10),--LEFT(RawData!$A$1:$ZZ$1,3),0)),3)),"--")</f>
        <v>--</v>
      </c>
      <c r="Y26" s="548"/>
      <c r="Z26" s="548"/>
      <c r="AA26" s="549"/>
      <c r="AB26" s="550" t="str">
        <f t="shared" ca="1" si="2"/>
        <v>--</v>
      </c>
      <c r="AC26" s="550"/>
      <c r="AD26" s="550"/>
      <c r="AE26" s="551"/>
      <c r="AF26" s="57"/>
      <c r="AG26" s="530" t="str">
        <f t="shared" ca="1" si="3"/>
        <v>C0YYYY/MM/DD-FD--</v>
      </c>
      <c r="AH26" s="531"/>
      <c r="AI26" s="531"/>
      <c r="AJ26" s="369"/>
      <c r="AK26" s="530" t="str">
        <f ca="1">IF(I26=1,WorkSheet!$AF$39,CONCATENATE(WorkSheet!$AF$39&amp;"D"&amp;I26))</f>
        <v>--D--</v>
      </c>
      <c r="AL26" s="531"/>
      <c r="AM26" s="531"/>
      <c r="AN26" s="369"/>
      <c r="AO26" s="530" t="str">
        <f t="shared" si="4"/>
        <v>C0YYYY/MM/DD-FD--</v>
      </c>
      <c r="AP26" s="531"/>
      <c r="AQ26" s="531"/>
      <c r="AR26" s="369"/>
      <c r="AS26" s="530" t="str">
        <f>IF(V26=1,WorkSheet!$AF$39,CONCATENATE(WorkSheet!$AF$39&amp;"D"&amp;V26))</f>
        <v>--D--</v>
      </c>
      <c r="AT26" s="531"/>
      <c r="AU26" s="531"/>
      <c r="AV26" s="369"/>
    </row>
    <row r="27" spans="1:72" ht="15" customHeight="1" x14ac:dyDescent="0.25">
      <c r="A27" s="72" t="str">
        <f ca="1">IF(B27="--",$AG$4,IF(INDEX(測試方法!$A$1:$AZ$98,MATCH($D$5,測試方法!$A$1:$A$98,0),MATCH(B27,測試方法!$A$2:$AZ$2,0))="",$AG$6,$AG$5))</f>
        <v>□</v>
      </c>
      <c r="B27" s="552" t="str">
        <f ca="1">IF(樣品清單!AL$22="","--",樣品清單!AL$22)</f>
        <v>--</v>
      </c>
      <c r="C27" s="553"/>
      <c r="D27" s="554" t="str">
        <f ca="1">IFERROR(IF(INDEX(測試方法!$A$1:$AZ$98,MATCH(sample20!$D$5,測試方法!$A$1:$A$98,0),MATCH(sample20!B27,測試方法!$A$2:$AZ$2,0))&lt;&gt;"",INDEX(測試方法!$A$1:$AZ$98,MATCH(sample20!$D$5,測試方法!$A$1:$A$98,0),MATCH(sample20!B27,測試方法!$A$2:$AZ$2,0)),"KeyIn"),"--")</f>
        <v>--</v>
      </c>
      <c r="E27" s="553"/>
      <c r="F27" s="555" t="str" cm="1">
        <f t="array" aca="1" ref="F27" ca="1">IFERROR(IF(INDEX(RawData!$A$1:$ZZ$100,MATCH($AG27,RawData!$G$1:$G$100,0),MATCH(--MID(B27,3,10),--LEFT(RawData!$A$1:$ZZ$1,3),0))="&lt;0.000",0,ROUND(INDEX(RawData!$A$1:$ZZ$100,MATCH($AG27,RawData!$G$1:$G$100,0),MATCH(--MID(B27,3,10),--LEFT(RawData!$A$1:$ZZ$1,3),0)),3)),"--")</f>
        <v>--</v>
      </c>
      <c r="G27" s="548"/>
      <c r="H27" s="549"/>
      <c r="I27" s="556" t="str">
        <f t="shared" ca="1" si="0"/>
        <v>--</v>
      </c>
      <c r="J27" s="557"/>
      <c r="K27" s="547" t="str" cm="1">
        <f t="array" aca="1" ref="K27" ca="1">IFERROR(IF(INDEX(RawData!$A$1:$ZZ$100,MATCH($AK27,RawData!$G$1:$G$100,0),MATCH(--MID(B27,3,10),--LEFT(RawData!$A$1:$ZZ$1,3),0))="&lt;0.000",0,ROUND(INDEX(RawData!$A$1:$ZZ$100,MATCH($AK27,RawData!$G$1:$G$100,0),MATCH(--MID(B27,3,10),--LEFT(RawData!$A$1:$ZZ$1,3),0)),3)),"--")</f>
        <v>--</v>
      </c>
      <c r="L27" s="548"/>
      <c r="M27" s="548"/>
      <c r="N27" s="549"/>
      <c r="O27" s="550" t="str">
        <f t="shared" ca="1" si="1"/>
        <v>--</v>
      </c>
      <c r="P27" s="550"/>
      <c r="Q27" s="550"/>
      <c r="R27" s="551"/>
      <c r="S27" s="555" t="str">
        <f t="array" aca="1" ref="S27" ca="1">IFERROR(IF(INDEX(RawData!$A$1:$ZZ$100,MATCH($AO27,RawData!$G$1:$G$100,0),MATCH(--MID(B27,3,10),--LEFT(RawData!$A$1:$ZZ$1,3),0))="&lt;0.000",0,ROUND(INDEX(RawData!$A$1:$ZZ$100,MATCH($AO27,RawData!$G$1:$G$100,0),MATCH(--MID(B27,3,10),--LEFT(RawData!$A$1:$ZZ$1,3),0)),3)),"--")</f>
        <v>--</v>
      </c>
      <c r="T27" s="548"/>
      <c r="U27" s="549"/>
      <c r="V27" s="558" t="s">
        <v>97</v>
      </c>
      <c r="W27" s="558"/>
      <c r="X27" s="547" t="str">
        <f t="array" aca="1" ref="X27" ca="1">IFERROR(IF(INDEX(RawData!$A$1:$ZZ$100,MATCH($AS27,RawData!$G$1:$G$100,0),MATCH(--MID(B27,3,10),--LEFT(RawData!$A$1:$ZZ$1,3),0))="&lt;0.000",0,ROUND(INDEX(RawData!$A$1:$ZZ$100,MATCH($AS27,RawData!$G$1:$G$100,0),MATCH(--MID(B27,3,10),--LEFT(RawData!$A$1:$ZZ$1,3),0)),3)),"--")</f>
        <v>--</v>
      </c>
      <c r="Y27" s="548"/>
      <c r="Z27" s="548"/>
      <c r="AA27" s="549"/>
      <c r="AB27" s="550" t="str">
        <f t="shared" ca="1" si="2"/>
        <v>--</v>
      </c>
      <c r="AC27" s="550"/>
      <c r="AD27" s="550"/>
      <c r="AE27" s="551"/>
      <c r="AF27" s="57"/>
      <c r="AG27" s="530" t="str">
        <f t="shared" ca="1" si="3"/>
        <v>C0YYYY/MM/DD-FD--</v>
      </c>
      <c r="AH27" s="531"/>
      <c r="AI27" s="531"/>
      <c r="AJ27" s="369"/>
      <c r="AK27" s="530" t="str">
        <f ca="1">IF(I27=1,WorkSheet!$AF$39,CONCATENATE(WorkSheet!$AF$39&amp;"D"&amp;I27))</f>
        <v>--D--</v>
      </c>
      <c r="AL27" s="531"/>
      <c r="AM27" s="531"/>
      <c r="AN27" s="369"/>
      <c r="AO27" s="530" t="str">
        <f t="shared" si="4"/>
        <v>C0YYYY/MM/DD-FD--</v>
      </c>
      <c r="AP27" s="531"/>
      <c r="AQ27" s="531"/>
      <c r="AR27" s="369"/>
      <c r="AS27" s="530" t="str">
        <f>IF(V27=1,WorkSheet!$AF$39,CONCATENATE(WorkSheet!$AF$39&amp;"D"&amp;V27))</f>
        <v>--D--</v>
      </c>
      <c r="AT27" s="531"/>
      <c r="AU27" s="531"/>
      <c r="AV27" s="369"/>
    </row>
    <row r="28" spans="1:72" ht="15" customHeight="1" x14ac:dyDescent="0.25">
      <c r="A28" s="72" t="str">
        <f ca="1">IF(B28="--",$AG$4,IF(INDEX(測試方法!$A$1:$AZ$98,MATCH($D$5,測試方法!$A$1:$A$98,0),MATCH(B28,測試方法!$A$2:$AZ$2,0))="",$AG$6,$AG$5))</f>
        <v>□</v>
      </c>
      <c r="B28" s="552" t="str">
        <f ca="1">IF(樣品清單!AM$22="","--",樣品清單!AM$22)</f>
        <v>--</v>
      </c>
      <c r="C28" s="553"/>
      <c r="D28" s="554" t="str">
        <f ca="1">IFERROR(IF(INDEX(測試方法!$A$1:$AZ$98,MATCH(sample20!$D$5,測試方法!$A$1:$A$98,0),MATCH(sample20!B28,測試方法!$A$2:$AZ$2,0))&lt;&gt;"",INDEX(測試方法!$A$1:$AZ$98,MATCH(sample20!$D$5,測試方法!$A$1:$A$98,0),MATCH(sample20!B28,測試方法!$A$2:$AZ$2,0)),"KeyIn"),"--")</f>
        <v>--</v>
      </c>
      <c r="E28" s="553"/>
      <c r="F28" s="555" t="str" cm="1">
        <f t="array" aca="1" ref="F28" ca="1">IFERROR(IF(INDEX(RawData!$A$1:$ZZ$100,MATCH($AG28,RawData!$G$1:$G$100,0),MATCH(--MID(B28,3,10),--LEFT(RawData!$A$1:$ZZ$1,3),0))="&lt;0.000",0,ROUND(INDEX(RawData!$A$1:$ZZ$100,MATCH($AG28,RawData!$G$1:$G$100,0),MATCH(--MID(B28,3,10),--LEFT(RawData!$A$1:$ZZ$1,3),0)),3)),"--")</f>
        <v>--</v>
      </c>
      <c r="G28" s="548"/>
      <c r="H28" s="549"/>
      <c r="I28" s="556" t="str">
        <f t="shared" ca="1" si="0"/>
        <v>--</v>
      </c>
      <c r="J28" s="557"/>
      <c r="K28" s="547" t="str" cm="1">
        <f t="array" aca="1" ref="K28" ca="1">IFERROR(IF(INDEX(RawData!$A$1:$ZZ$100,MATCH($AK28,RawData!$G$1:$G$100,0),MATCH(--MID(B28,3,10),--LEFT(RawData!$A$1:$ZZ$1,3),0))="&lt;0.000",0,ROUND(INDEX(RawData!$A$1:$ZZ$100,MATCH($AK28,RawData!$G$1:$G$100,0),MATCH(--MID(B28,3,10),--LEFT(RawData!$A$1:$ZZ$1,3),0)),3)),"--")</f>
        <v>--</v>
      </c>
      <c r="L28" s="548"/>
      <c r="M28" s="548"/>
      <c r="N28" s="549"/>
      <c r="O28" s="550" t="str">
        <f t="shared" ca="1" si="1"/>
        <v>--</v>
      </c>
      <c r="P28" s="550"/>
      <c r="Q28" s="550"/>
      <c r="R28" s="551"/>
      <c r="S28" s="555" t="str">
        <f t="array" aca="1" ref="S28" ca="1">IFERROR(IF(INDEX(RawData!$A$1:$ZZ$100,MATCH($AO28,RawData!$G$1:$G$100,0),MATCH(--MID(B28,3,10),--LEFT(RawData!$A$1:$ZZ$1,3),0))="&lt;0.000",0,ROUND(INDEX(RawData!$A$1:$ZZ$100,MATCH($AO28,RawData!$G$1:$G$100,0),MATCH(--MID(B28,3,10),--LEFT(RawData!$A$1:$ZZ$1,3),0)),3)),"--")</f>
        <v>--</v>
      </c>
      <c r="T28" s="548"/>
      <c r="U28" s="549"/>
      <c r="V28" s="558" t="s">
        <v>97</v>
      </c>
      <c r="W28" s="558"/>
      <c r="X28" s="547" t="str">
        <f t="array" aca="1" ref="X28" ca="1">IFERROR(IF(INDEX(RawData!$A$1:$ZZ$100,MATCH($AS28,RawData!$G$1:$G$100,0),MATCH(--MID(B28,3,10),--LEFT(RawData!$A$1:$ZZ$1,3),0))="&lt;0.000",0,ROUND(INDEX(RawData!$A$1:$ZZ$100,MATCH($AS28,RawData!$G$1:$G$100,0),MATCH(--MID(B28,3,10),--LEFT(RawData!$A$1:$ZZ$1,3),0)),3)),"--")</f>
        <v>--</v>
      </c>
      <c r="Y28" s="548"/>
      <c r="Z28" s="548"/>
      <c r="AA28" s="549"/>
      <c r="AB28" s="550" t="str">
        <f t="shared" ca="1" si="2"/>
        <v>--</v>
      </c>
      <c r="AC28" s="550"/>
      <c r="AD28" s="550"/>
      <c r="AE28" s="551"/>
      <c r="AF28" s="57"/>
      <c r="AG28" s="530" t="str">
        <f t="shared" ca="1" si="3"/>
        <v>C0YYYY/MM/DD-FD--</v>
      </c>
      <c r="AH28" s="531"/>
      <c r="AI28" s="531"/>
      <c r="AJ28" s="369"/>
      <c r="AK28" s="530" t="str">
        <f ca="1">IF(I28=1,WorkSheet!$AF$39,CONCATENATE(WorkSheet!$AF$39&amp;"D"&amp;I28))</f>
        <v>--D--</v>
      </c>
      <c r="AL28" s="531"/>
      <c r="AM28" s="531"/>
      <c r="AN28" s="369"/>
      <c r="AO28" s="530" t="str">
        <f t="shared" si="4"/>
        <v>C0YYYY/MM/DD-FD--</v>
      </c>
      <c r="AP28" s="531"/>
      <c r="AQ28" s="531"/>
      <c r="AR28" s="369"/>
      <c r="AS28" s="530" t="str">
        <f>IF(V28=1,WorkSheet!$AF$39,CONCATENATE(WorkSheet!$AF$39&amp;"D"&amp;V28))</f>
        <v>--D--</v>
      </c>
      <c r="AT28" s="531"/>
      <c r="AU28" s="531"/>
      <c r="AV28" s="369"/>
    </row>
    <row r="29" spans="1:72" ht="15" customHeight="1" x14ac:dyDescent="0.25">
      <c r="A29" s="72" t="str">
        <f ca="1">IF(B29="--",$AG$4,IF(INDEX(測試方法!$A$1:$AZ$98,MATCH($D$5,測試方法!$A$1:$A$98,0),MATCH(B29,測試方法!$A$2:$AZ$2,0))="",$AG$6,$AG$5))</f>
        <v>□</v>
      </c>
      <c r="B29" s="552" t="str">
        <f ca="1">IF(樣品清單!AN$22="","--",樣品清單!AN$22)</f>
        <v>--</v>
      </c>
      <c r="C29" s="553"/>
      <c r="D29" s="554" t="str">
        <f ca="1">IFERROR(IF(INDEX(測試方法!$A$1:$AZ$98,MATCH(sample20!$D$5,測試方法!$A$1:$A$98,0),MATCH(sample20!B29,測試方法!$A$2:$AZ$2,0))&lt;&gt;"",INDEX(測試方法!$A$1:$AZ$98,MATCH(sample20!$D$5,測試方法!$A$1:$A$98,0),MATCH(sample20!B29,測試方法!$A$2:$AZ$2,0)),"KeyIn"),"--")</f>
        <v>--</v>
      </c>
      <c r="E29" s="553"/>
      <c r="F29" s="555" t="str" cm="1">
        <f t="array" aca="1" ref="F29" ca="1">IFERROR(IF(INDEX(RawData!$A$1:$ZZ$100,MATCH($AG29,RawData!$G$1:$G$100,0),MATCH(--MID(B29,3,10),--LEFT(RawData!$A$1:$ZZ$1,3),0))="&lt;0.000",0,ROUND(INDEX(RawData!$A$1:$ZZ$100,MATCH($AG29,RawData!$G$1:$G$100,0),MATCH(--MID(B29,3,10),--LEFT(RawData!$A$1:$ZZ$1,3),0)),3)),"--")</f>
        <v>--</v>
      </c>
      <c r="G29" s="548"/>
      <c r="H29" s="549"/>
      <c r="I29" s="556" t="str">
        <f t="shared" ca="1" si="0"/>
        <v>--</v>
      </c>
      <c r="J29" s="557"/>
      <c r="K29" s="547" t="str" cm="1">
        <f t="array" aca="1" ref="K29" ca="1">IFERROR(IF(INDEX(RawData!$A$1:$ZZ$100,MATCH($AK29,RawData!$G$1:$G$100,0),MATCH(--MID(B29,3,10),--LEFT(RawData!$A$1:$ZZ$1,3),0))="&lt;0.000",0,ROUND(INDEX(RawData!$A$1:$ZZ$100,MATCH($AK29,RawData!$G$1:$G$100,0),MATCH(--MID(B29,3,10),--LEFT(RawData!$A$1:$ZZ$1,3),0)),3)),"--")</f>
        <v>--</v>
      </c>
      <c r="L29" s="548"/>
      <c r="M29" s="548"/>
      <c r="N29" s="549"/>
      <c r="O29" s="550" t="str">
        <f t="shared" ca="1" si="1"/>
        <v>--</v>
      </c>
      <c r="P29" s="550"/>
      <c r="Q29" s="550"/>
      <c r="R29" s="551"/>
      <c r="S29" s="555" t="str">
        <f t="array" aca="1" ref="S29" ca="1">IFERROR(IF(INDEX(RawData!$A$1:$ZZ$100,MATCH($AO29,RawData!$G$1:$G$100,0),MATCH(--MID(B29,3,10),--LEFT(RawData!$A$1:$ZZ$1,3),0))="&lt;0.000",0,ROUND(INDEX(RawData!$A$1:$ZZ$100,MATCH($AO29,RawData!$G$1:$G$100,0),MATCH(--MID(B29,3,10),--LEFT(RawData!$A$1:$ZZ$1,3),0)),3)),"--")</f>
        <v>--</v>
      </c>
      <c r="T29" s="548"/>
      <c r="U29" s="549"/>
      <c r="V29" s="558" t="s">
        <v>97</v>
      </c>
      <c r="W29" s="558"/>
      <c r="X29" s="547" t="str">
        <f t="array" aca="1" ref="X29" ca="1">IFERROR(IF(INDEX(RawData!$A$1:$ZZ$100,MATCH($AS29,RawData!$G$1:$G$100,0),MATCH(--MID(B29,3,10),--LEFT(RawData!$A$1:$ZZ$1,3),0))="&lt;0.000",0,ROUND(INDEX(RawData!$A$1:$ZZ$100,MATCH($AS29,RawData!$G$1:$G$100,0),MATCH(--MID(B29,3,10),--LEFT(RawData!$A$1:$ZZ$1,3),0)),3)),"--")</f>
        <v>--</v>
      </c>
      <c r="Y29" s="548"/>
      <c r="Z29" s="548"/>
      <c r="AA29" s="549"/>
      <c r="AB29" s="550" t="str">
        <f t="shared" ca="1" si="2"/>
        <v>--</v>
      </c>
      <c r="AC29" s="550"/>
      <c r="AD29" s="550"/>
      <c r="AE29" s="551"/>
      <c r="AF29" s="57"/>
      <c r="AG29" s="530" t="str">
        <f t="shared" ca="1" si="3"/>
        <v>C0YYYY/MM/DD-FD--</v>
      </c>
      <c r="AH29" s="531"/>
      <c r="AI29" s="531"/>
      <c r="AJ29" s="369"/>
      <c r="AK29" s="530" t="str">
        <f ca="1">IF(I29=1,WorkSheet!$AF$39,CONCATENATE(WorkSheet!$AF$39&amp;"D"&amp;I29))</f>
        <v>--D--</v>
      </c>
      <c r="AL29" s="531"/>
      <c r="AM29" s="531"/>
      <c r="AN29" s="369"/>
      <c r="AO29" s="530" t="str">
        <f t="shared" si="4"/>
        <v>C0YYYY/MM/DD-FD--</v>
      </c>
      <c r="AP29" s="531"/>
      <c r="AQ29" s="531"/>
      <c r="AR29" s="369"/>
      <c r="AS29" s="530" t="str">
        <f>IF(V29=1,WorkSheet!$AF$39,CONCATENATE(WorkSheet!$AF$39&amp;"D"&amp;V29))</f>
        <v>--D--</v>
      </c>
      <c r="AT29" s="531"/>
      <c r="AU29" s="531"/>
      <c r="AV29" s="369"/>
    </row>
    <row r="30" spans="1:72" ht="15" customHeight="1" x14ac:dyDescent="0.25">
      <c r="A30" s="72" t="str">
        <f ca="1">IF(B30="--",$AG$4,IF(INDEX(測試方法!$A$1:$AZ$98,MATCH($D$5,測試方法!$A$1:$A$98,0),MATCH(B30,測試方法!$A$2:$AZ$2,0))="",$AG$6,$AG$5))</f>
        <v>□</v>
      </c>
      <c r="B30" s="552" t="str">
        <f ca="1">IF(樣品清單!AO$22="","--",樣品清單!AO$22)</f>
        <v>--</v>
      </c>
      <c r="C30" s="553"/>
      <c r="D30" s="554" t="str">
        <f ca="1">IFERROR(IF(INDEX(測試方法!$A$1:$AZ$98,MATCH(sample20!$D$5,測試方法!$A$1:$A$98,0),MATCH(sample20!B30,測試方法!$A$2:$AZ$2,0))&lt;&gt;"",INDEX(測試方法!$A$1:$AZ$98,MATCH(sample20!$D$5,測試方法!$A$1:$A$98,0),MATCH(sample20!B30,測試方法!$A$2:$AZ$2,0)),"KeyIn"),"--")</f>
        <v>--</v>
      </c>
      <c r="E30" s="553"/>
      <c r="F30" s="555" t="str" cm="1">
        <f t="array" aca="1" ref="F30" ca="1">IFERROR(IF(INDEX(RawData!$A$1:$ZZ$100,MATCH($AG30,RawData!$G$1:$G$100,0),MATCH(--MID(B30,3,10),--LEFT(RawData!$A$1:$ZZ$1,3),0))="&lt;0.000",0,ROUND(INDEX(RawData!$A$1:$ZZ$100,MATCH($AG30,RawData!$G$1:$G$100,0),MATCH(--MID(B30,3,10),--LEFT(RawData!$A$1:$ZZ$1,3),0)),3)),"--")</f>
        <v>--</v>
      </c>
      <c r="G30" s="548"/>
      <c r="H30" s="549"/>
      <c r="I30" s="556" t="str">
        <f t="shared" ca="1" si="0"/>
        <v>--</v>
      </c>
      <c r="J30" s="557"/>
      <c r="K30" s="547" t="str" cm="1">
        <f t="array" aca="1" ref="K30" ca="1">IFERROR(IF(INDEX(RawData!$A$1:$ZZ$100,MATCH($AK30,RawData!$G$1:$G$100,0),MATCH(--MID(B30,3,10),--LEFT(RawData!$A$1:$ZZ$1,3),0))="&lt;0.000",0,ROUND(INDEX(RawData!$A$1:$ZZ$100,MATCH($AK30,RawData!$G$1:$G$100,0),MATCH(--MID(B30,3,10),--LEFT(RawData!$A$1:$ZZ$1,3),0)),3)),"--")</f>
        <v>--</v>
      </c>
      <c r="L30" s="548"/>
      <c r="M30" s="548"/>
      <c r="N30" s="549"/>
      <c r="O30" s="550" t="str">
        <f t="shared" ca="1" si="1"/>
        <v>--</v>
      </c>
      <c r="P30" s="550"/>
      <c r="Q30" s="550"/>
      <c r="R30" s="551"/>
      <c r="S30" s="555" t="str">
        <f t="array" aca="1" ref="S30" ca="1">IFERROR(IF(INDEX(RawData!$A$1:$ZZ$100,MATCH($AO30,RawData!$G$1:$G$100,0),MATCH(--MID(B30,3,10),--LEFT(RawData!$A$1:$ZZ$1,3),0))="&lt;0.000",0,ROUND(INDEX(RawData!$A$1:$ZZ$100,MATCH($AO30,RawData!$G$1:$G$100,0),MATCH(--MID(B30,3,10),--LEFT(RawData!$A$1:$ZZ$1,3),0)),3)),"--")</f>
        <v>--</v>
      </c>
      <c r="T30" s="548"/>
      <c r="U30" s="549"/>
      <c r="V30" s="558" t="s">
        <v>97</v>
      </c>
      <c r="W30" s="558"/>
      <c r="X30" s="547" t="str">
        <f t="array" aca="1" ref="X30" ca="1">IFERROR(IF(INDEX(RawData!$A$1:$ZZ$100,MATCH($AS30,RawData!$G$1:$G$100,0),MATCH(--MID(B30,3,10),--LEFT(RawData!$A$1:$ZZ$1,3),0))="&lt;0.000",0,ROUND(INDEX(RawData!$A$1:$ZZ$100,MATCH($AS30,RawData!$G$1:$G$100,0),MATCH(--MID(B30,3,10),--LEFT(RawData!$A$1:$ZZ$1,3),0)),3)),"--")</f>
        <v>--</v>
      </c>
      <c r="Y30" s="548"/>
      <c r="Z30" s="548"/>
      <c r="AA30" s="549"/>
      <c r="AB30" s="550" t="str">
        <f t="shared" ca="1" si="2"/>
        <v>--</v>
      </c>
      <c r="AC30" s="550"/>
      <c r="AD30" s="550"/>
      <c r="AE30" s="551"/>
      <c r="AF30" s="57"/>
      <c r="AG30" s="530" t="str">
        <f t="shared" ca="1" si="3"/>
        <v>C0YYYY/MM/DD-FD--</v>
      </c>
      <c r="AH30" s="531"/>
      <c r="AI30" s="531"/>
      <c r="AJ30" s="369"/>
      <c r="AK30" s="530" t="str">
        <f ca="1">IF(I30=1,WorkSheet!$AF$39,CONCATENATE(WorkSheet!$AF$39&amp;"D"&amp;I30))</f>
        <v>--D--</v>
      </c>
      <c r="AL30" s="531"/>
      <c r="AM30" s="531"/>
      <c r="AN30" s="369"/>
      <c r="AO30" s="530" t="str">
        <f t="shared" si="4"/>
        <v>C0YYYY/MM/DD-FD--</v>
      </c>
      <c r="AP30" s="531"/>
      <c r="AQ30" s="531"/>
      <c r="AR30" s="369"/>
      <c r="AS30" s="530" t="str">
        <f>IF(V30=1,WorkSheet!$AF$39,CONCATENATE(WorkSheet!$AF$39&amp;"D"&amp;V30))</f>
        <v>--D--</v>
      </c>
      <c r="AT30" s="531"/>
      <c r="AU30" s="531"/>
      <c r="AV30" s="369"/>
    </row>
    <row r="31" spans="1:72" ht="15" customHeight="1" x14ac:dyDescent="0.25">
      <c r="A31" s="72" t="str">
        <f ca="1">IF(B31="--",$AG$4,IF(INDEX(測試方法!$A$1:$AZ$98,MATCH($D$5,測試方法!$A$1:$A$98,0),MATCH(B31,測試方法!$A$2:$AZ$2,0))="",$AG$6,$AG$5))</f>
        <v>□</v>
      </c>
      <c r="B31" s="552" t="str">
        <f ca="1">IF(樣品清單!AP$22="","--",樣品清單!AP$22)</f>
        <v>--</v>
      </c>
      <c r="C31" s="553"/>
      <c r="D31" s="554" t="str">
        <f ca="1">IFERROR(IF(INDEX(測試方法!$A$1:$AZ$98,MATCH(sample20!$D$5,測試方法!$A$1:$A$98,0),MATCH(sample20!B31,測試方法!$A$2:$AZ$2,0))&lt;&gt;"",INDEX(測試方法!$A$1:$AZ$98,MATCH(sample20!$D$5,測試方法!$A$1:$A$98,0),MATCH(sample20!B31,測試方法!$A$2:$AZ$2,0)),"KeyIn"),"--")</f>
        <v>--</v>
      </c>
      <c r="E31" s="553"/>
      <c r="F31" s="555" t="str" cm="1">
        <f t="array" aca="1" ref="F31" ca="1">IFERROR(IF(INDEX(RawData!$A$1:$ZZ$100,MATCH($AG31,RawData!$G$1:$G$100,0),MATCH(--MID(B31,3,10),--LEFT(RawData!$A$1:$ZZ$1,3),0))="&lt;0.000",0,ROUND(INDEX(RawData!$A$1:$ZZ$100,MATCH($AG31,RawData!$G$1:$G$100,0),MATCH(--MID(B31,3,10),--LEFT(RawData!$A$1:$ZZ$1,3),0)),3)),"--")</f>
        <v>--</v>
      </c>
      <c r="G31" s="548"/>
      <c r="H31" s="549"/>
      <c r="I31" s="556" t="str">
        <f t="shared" ca="1" si="0"/>
        <v>--</v>
      </c>
      <c r="J31" s="557"/>
      <c r="K31" s="547" t="str" cm="1">
        <f t="array" aca="1" ref="K31" ca="1">IFERROR(IF(INDEX(RawData!$A$1:$ZZ$100,MATCH($AK31,RawData!$G$1:$G$100,0),MATCH(--MID(B31,3,10),--LEFT(RawData!$A$1:$ZZ$1,3),0))="&lt;0.000",0,ROUND(INDEX(RawData!$A$1:$ZZ$100,MATCH($AK31,RawData!$G$1:$G$100,0),MATCH(--MID(B31,3,10),--LEFT(RawData!$A$1:$ZZ$1,3),0)),3)),"--")</f>
        <v>--</v>
      </c>
      <c r="L31" s="548"/>
      <c r="M31" s="548"/>
      <c r="N31" s="549"/>
      <c r="O31" s="550" t="str">
        <f t="shared" ca="1" si="1"/>
        <v>--</v>
      </c>
      <c r="P31" s="550"/>
      <c r="Q31" s="550"/>
      <c r="R31" s="551"/>
      <c r="S31" s="555" t="str">
        <f t="array" aca="1" ref="S31" ca="1">IFERROR(IF(INDEX(RawData!$A$1:$ZZ$100,MATCH($AO31,RawData!$G$1:$G$100,0),MATCH(--MID(B31,3,10),--LEFT(RawData!$A$1:$ZZ$1,3),0))="&lt;0.000",0,ROUND(INDEX(RawData!$A$1:$ZZ$100,MATCH($AO31,RawData!$G$1:$G$100,0),MATCH(--MID(B31,3,10),--LEFT(RawData!$A$1:$ZZ$1,3),0)),3)),"--")</f>
        <v>--</v>
      </c>
      <c r="T31" s="548"/>
      <c r="U31" s="549"/>
      <c r="V31" s="558" t="s">
        <v>97</v>
      </c>
      <c r="W31" s="558"/>
      <c r="X31" s="547" t="str">
        <f t="array" aca="1" ref="X31" ca="1">IFERROR(IF(INDEX(RawData!$A$1:$ZZ$100,MATCH($AS31,RawData!$G$1:$G$100,0),MATCH(--MID(B31,3,10),--LEFT(RawData!$A$1:$ZZ$1,3),0))="&lt;0.000",0,ROUND(INDEX(RawData!$A$1:$ZZ$100,MATCH($AS31,RawData!$G$1:$G$100,0),MATCH(--MID(B31,3,10),--LEFT(RawData!$A$1:$ZZ$1,3),0)),3)),"--")</f>
        <v>--</v>
      </c>
      <c r="Y31" s="548"/>
      <c r="Z31" s="548"/>
      <c r="AA31" s="549"/>
      <c r="AB31" s="550" t="str">
        <f t="shared" ca="1" si="2"/>
        <v>--</v>
      </c>
      <c r="AC31" s="550"/>
      <c r="AD31" s="550"/>
      <c r="AE31" s="551"/>
      <c r="AF31" s="57"/>
      <c r="AG31" s="530" t="str">
        <f t="shared" ca="1" si="3"/>
        <v>C0YYYY/MM/DD-FD--</v>
      </c>
      <c r="AH31" s="531"/>
      <c r="AI31" s="531"/>
      <c r="AJ31" s="369"/>
      <c r="AK31" s="530" t="str">
        <f ca="1">IF(I31=1,WorkSheet!$AF$39,CONCATENATE(WorkSheet!$AF$39&amp;"D"&amp;I31))</f>
        <v>--D--</v>
      </c>
      <c r="AL31" s="531"/>
      <c r="AM31" s="531"/>
      <c r="AN31" s="369"/>
      <c r="AO31" s="530" t="str">
        <f t="shared" si="4"/>
        <v>C0YYYY/MM/DD-FD--</v>
      </c>
      <c r="AP31" s="531"/>
      <c r="AQ31" s="531"/>
      <c r="AR31" s="369"/>
      <c r="AS31" s="530" t="str">
        <f>IF(V31=1,WorkSheet!$AF$39,CONCATENATE(WorkSheet!$AF$39&amp;"D"&amp;V31))</f>
        <v>--D--</v>
      </c>
      <c r="AT31" s="531"/>
      <c r="AU31" s="531"/>
      <c r="AV31" s="369"/>
    </row>
    <row r="32" spans="1:72" ht="15" customHeight="1" x14ac:dyDescent="0.25">
      <c r="A32" s="72" t="str">
        <f ca="1">IF(B32="--",$AG$4,IF(INDEX(測試方法!$A$1:$AZ$98,MATCH($D$5,測試方法!$A$1:$A$98,0),MATCH(B32,測試方法!$A$2:$AZ$2,0))="",$AG$6,$AG$5))</f>
        <v>□</v>
      </c>
      <c r="B32" s="552" t="str">
        <f ca="1">IF(樣品清單!AQ$22="","--",樣品清單!AQ$22)</f>
        <v>--</v>
      </c>
      <c r="C32" s="553"/>
      <c r="D32" s="554" t="str">
        <f ca="1">IFERROR(IF(INDEX(測試方法!$A$1:$AZ$98,MATCH(sample20!$D$5,測試方法!$A$1:$A$98,0),MATCH(sample20!B32,測試方法!$A$2:$AZ$2,0))&lt;&gt;"",INDEX(測試方法!$A$1:$AZ$98,MATCH(sample20!$D$5,測試方法!$A$1:$A$98,0),MATCH(sample20!B32,測試方法!$A$2:$AZ$2,0)),"KeyIn"),"--")</f>
        <v>--</v>
      </c>
      <c r="E32" s="553"/>
      <c r="F32" s="555" t="str" cm="1">
        <f t="array" aca="1" ref="F32" ca="1">IFERROR(IF(INDEX(RawData!$A$1:$ZZ$100,MATCH($AG32,RawData!$G$1:$G$100,0),MATCH(--MID(B32,3,10),--LEFT(RawData!$A$1:$ZZ$1,3),0))="&lt;0.000",0,ROUND(INDEX(RawData!$A$1:$ZZ$100,MATCH($AG32,RawData!$G$1:$G$100,0),MATCH(--MID(B32,3,10),--LEFT(RawData!$A$1:$ZZ$1,3),0)),3)),"--")</f>
        <v>--</v>
      </c>
      <c r="G32" s="548"/>
      <c r="H32" s="549"/>
      <c r="I32" s="556" t="str">
        <f t="shared" ca="1" si="0"/>
        <v>--</v>
      </c>
      <c r="J32" s="557"/>
      <c r="K32" s="547" t="str" cm="1">
        <f t="array" aca="1" ref="K32" ca="1">IFERROR(IF(INDEX(RawData!$A$1:$ZZ$100,MATCH($AK32,RawData!$G$1:$G$100,0),MATCH(--MID(B32,3,10),--LEFT(RawData!$A$1:$ZZ$1,3),0))="&lt;0.000",0,ROUND(INDEX(RawData!$A$1:$ZZ$100,MATCH($AK32,RawData!$G$1:$G$100,0),MATCH(--MID(B32,3,10),--LEFT(RawData!$A$1:$ZZ$1,3),0)),3)),"--")</f>
        <v>--</v>
      </c>
      <c r="L32" s="548"/>
      <c r="M32" s="548"/>
      <c r="N32" s="549"/>
      <c r="O32" s="550" t="str">
        <f t="shared" ca="1" si="1"/>
        <v>--</v>
      </c>
      <c r="P32" s="550"/>
      <c r="Q32" s="550"/>
      <c r="R32" s="551"/>
      <c r="S32" s="555" t="str">
        <f t="array" aca="1" ref="S32" ca="1">IFERROR(IF(INDEX(RawData!$A$1:$ZZ$100,MATCH($AO32,RawData!$G$1:$G$100,0),MATCH(--MID(B32,3,10),--LEFT(RawData!$A$1:$ZZ$1,3),0))="&lt;0.000",0,ROUND(INDEX(RawData!$A$1:$ZZ$100,MATCH($AO32,RawData!$G$1:$G$100,0),MATCH(--MID(B32,3,10),--LEFT(RawData!$A$1:$ZZ$1,3),0)),3)),"--")</f>
        <v>--</v>
      </c>
      <c r="T32" s="548"/>
      <c r="U32" s="549"/>
      <c r="V32" s="558" t="s">
        <v>97</v>
      </c>
      <c r="W32" s="558"/>
      <c r="X32" s="547" t="str">
        <f t="array" aca="1" ref="X32" ca="1">IFERROR(IF(INDEX(RawData!$A$1:$ZZ$100,MATCH($AS32,RawData!$G$1:$G$100,0),MATCH(--MID(B32,3,10),--LEFT(RawData!$A$1:$ZZ$1,3),0))="&lt;0.000",0,ROUND(INDEX(RawData!$A$1:$ZZ$100,MATCH($AS32,RawData!$G$1:$G$100,0),MATCH(--MID(B32,3,10),--LEFT(RawData!$A$1:$ZZ$1,3),0)),3)),"--")</f>
        <v>--</v>
      </c>
      <c r="Y32" s="548"/>
      <c r="Z32" s="548"/>
      <c r="AA32" s="549"/>
      <c r="AB32" s="550" t="str">
        <f t="shared" ca="1" si="2"/>
        <v>--</v>
      </c>
      <c r="AC32" s="550"/>
      <c r="AD32" s="550"/>
      <c r="AE32" s="551"/>
      <c r="AF32" s="58"/>
      <c r="AG32" s="530" t="str">
        <f t="shared" ca="1" si="3"/>
        <v>C0YYYY/MM/DD-FD--</v>
      </c>
      <c r="AH32" s="531"/>
      <c r="AI32" s="531"/>
      <c r="AJ32" s="369"/>
      <c r="AK32" s="530" t="str">
        <f ca="1">IF(I32=1,WorkSheet!$AF$39,CONCATENATE(WorkSheet!$AF$39&amp;"D"&amp;I32))</f>
        <v>--D--</v>
      </c>
      <c r="AL32" s="531"/>
      <c r="AM32" s="531"/>
      <c r="AN32" s="369"/>
      <c r="AO32" s="530" t="str">
        <f t="shared" si="4"/>
        <v>C0YYYY/MM/DD-FD--</v>
      </c>
      <c r="AP32" s="531"/>
      <c r="AQ32" s="531"/>
      <c r="AR32" s="369"/>
      <c r="AS32" s="530" t="str">
        <f>IF(V32=1,WorkSheet!$AF$39,CONCATENATE(WorkSheet!$AF$39&amp;"D"&amp;V32))</f>
        <v>--D--</v>
      </c>
      <c r="AT32" s="531"/>
      <c r="AU32" s="531"/>
      <c r="AV32" s="369"/>
      <c r="AZ32" s="3"/>
      <c r="BA32" s="3"/>
      <c r="BB32" s="3"/>
      <c r="BC32" s="3"/>
      <c r="BD32" s="3"/>
      <c r="BE32" s="3"/>
      <c r="BF32" s="3"/>
      <c r="BG32" s="3"/>
      <c r="BH32" s="3"/>
    </row>
    <row r="33" spans="1:60" ht="15" customHeight="1" x14ac:dyDescent="0.25">
      <c r="A33" s="72" t="str">
        <f ca="1">IF(B33="--",$AG$4,IF(INDEX(測試方法!$A$1:$AZ$98,MATCH($D$5,測試方法!$A$1:$A$98,0),MATCH(B33,測試方法!$A$2:$AZ$2,0))="",$AG$6,$AG$5))</f>
        <v>□</v>
      </c>
      <c r="B33" s="552" t="str">
        <f ca="1">IF(樣品清單!AR$22="","--",樣品清單!AR$22)</f>
        <v>--</v>
      </c>
      <c r="C33" s="553"/>
      <c r="D33" s="554" t="str">
        <f ca="1">IFERROR(IF(INDEX(測試方法!$A$1:$AZ$98,MATCH(sample20!$D$5,測試方法!$A$1:$A$98,0),MATCH(sample20!B33,測試方法!$A$2:$AZ$2,0))&lt;&gt;"",INDEX(測試方法!$A$1:$AZ$98,MATCH(sample20!$D$5,測試方法!$A$1:$A$98,0),MATCH(sample20!B33,測試方法!$A$2:$AZ$2,0)),"KeyIn"),"--")</f>
        <v>--</v>
      </c>
      <c r="E33" s="553"/>
      <c r="F33" s="555" t="str" cm="1">
        <f t="array" aca="1" ref="F33" ca="1">IFERROR(IF(INDEX(RawData!$A$1:$ZZ$100,MATCH($AG33,RawData!$G$1:$G$100,0),MATCH(--MID(B33,3,10),--LEFT(RawData!$A$1:$ZZ$1,3),0))="&lt;0.000",0,ROUND(INDEX(RawData!$A$1:$ZZ$100,MATCH($AG33,RawData!$G$1:$G$100,0),MATCH(--MID(B33,3,10),--LEFT(RawData!$A$1:$ZZ$1,3),0)),3)),"--")</f>
        <v>--</v>
      </c>
      <c r="G33" s="548"/>
      <c r="H33" s="549"/>
      <c r="I33" s="556" t="str">
        <f t="shared" ca="1" si="0"/>
        <v>--</v>
      </c>
      <c r="J33" s="557"/>
      <c r="K33" s="547" t="str" cm="1">
        <f t="array" aca="1" ref="K33" ca="1">IFERROR(IF(INDEX(RawData!$A$1:$ZZ$100,MATCH($AK33,RawData!$G$1:$G$100,0),MATCH(--MID(B33,3,10),--LEFT(RawData!$A$1:$ZZ$1,3),0))="&lt;0.000",0,ROUND(INDEX(RawData!$A$1:$ZZ$100,MATCH($AK33,RawData!$G$1:$G$100,0),MATCH(--MID(B33,3,10),--LEFT(RawData!$A$1:$ZZ$1,3),0)),3)),"--")</f>
        <v>--</v>
      </c>
      <c r="L33" s="548"/>
      <c r="M33" s="548"/>
      <c r="N33" s="549"/>
      <c r="O33" s="550" t="str">
        <f t="shared" ca="1" si="1"/>
        <v>--</v>
      </c>
      <c r="P33" s="550"/>
      <c r="Q33" s="550"/>
      <c r="R33" s="551"/>
      <c r="S33" s="555" t="str">
        <f t="array" aca="1" ref="S33" ca="1">IFERROR(IF(INDEX(RawData!$A$1:$ZZ$100,MATCH($AO33,RawData!$G$1:$G$100,0),MATCH(--MID(B33,3,10),--LEFT(RawData!$A$1:$ZZ$1,3),0))="&lt;0.000",0,ROUND(INDEX(RawData!$A$1:$ZZ$100,MATCH($AO33,RawData!$G$1:$G$100,0),MATCH(--MID(B33,3,10),--LEFT(RawData!$A$1:$ZZ$1,3),0)),3)),"--")</f>
        <v>--</v>
      </c>
      <c r="T33" s="548"/>
      <c r="U33" s="549"/>
      <c r="V33" s="558" t="s">
        <v>97</v>
      </c>
      <c r="W33" s="558"/>
      <c r="X33" s="547" t="str">
        <f t="array" aca="1" ref="X33" ca="1">IFERROR(IF(INDEX(RawData!$A$1:$ZZ$100,MATCH($AS33,RawData!$G$1:$G$100,0),MATCH(--MID(B33,3,10),--LEFT(RawData!$A$1:$ZZ$1,3),0))="&lt;0.000",0,ROUND(INDEX(RawData!$A$1:$ZZ$100,MATCH($AS33,RawData!$G$1:$G$100,0),MATCH(--MID(B33,3,10),--LEFT(RawData!$A$1:$ZZ$1,3),0)),3)),"--")</f>
        <v>--</v>
      </c>
      <c r="Y33" s="548"/>
      <c r="Z33" s="548"/>
      <c r="AA33" s="549"/>
      <c r="AB33" s="550" t="str">
        <f t="shared" ca="1" si="2"/>
        <v>--</v>
      </c>
      <c r="AC33" s="550"/>
      <c r="AD33" s="550"/>
      <c r="AE33" s="551"/>
      <c r="AF33" s="58"/>
      <c r="AG33" s="530" t="str">
        <f t="shared" ca="1" si="3"/>
        <v>C0YYYY/MM/DD-FD--</v>
      </c>
      <c r="AH33" s="531"/>
      <c r="AI33" s="531"/>
      <c r="AJ33" s="369"/>
      <c r="AK33" s="530" t="str">
        <f ca="1">IF(I33=1,WorkSheet!$AF$39,CONCATENATE(WorkSheet!$AF$39&amp;"D"&amp;I33))</f>
        <v>--D--</v>
      </c>
      <c r="AL33" s="531"/>
      <c r="AM33" s="531"/>
      <c r="AN33" s="369"/>
      <c r="AO33" s="530" t="str">
        <f t="shared" si="4"/>
        <v>C0YYYY/MM/DD-FD--</v>
      </c>
      <c r="AP33" s="531"/>
      <c r="AQ33" s="531"/>
      <c r="AR33" s="369"/>
      <c r="AS33" s="530" t="str">
        <f>IF(V33=1,WorkSheet!$AF$39,CONCATENATE(WorkSheet!$AF$39&amp;"D"&amp;V33))</f>
        <v>--D--</v>
      </c>
      <c r="AT33" s="531"/>
      <c r="AU33" s="531"/>
      <c r="AV33" s="369"/>
      <c r="AZ33" s="3"/>
      <c r="BA33" s="3"/>
      <c r="BB33" s="3"/>
      <c r="BC33" s="3"/>
      <c r="BD33" s="3"/>
      <c r="BE33" s="3"/>
      <c r="BF33" s="3"/>
      <c r="BG33" s="3"/>
      <c r="BH33" s="3"/>
    </row>
    <row r="34" spans="1:60" ht="15" customHeight="1" x14ac:dyDescent="0.25">
      <c r="A34" s="72" t="str">
        <f ca="1">IF(B34="--",$AG$4,IF(INDEX(測試方法!$A$1:$AZ$98,MATCH($D$5,測試方法!$A$1:$A$98,0),MATCH(B34,測試方法!$A$2:$AZ$2,0))="",$AG$6,$AG$5))</f>
        <v>□</v>
      </c>
      <c r="B34" s="552" t="str">
        <f ca="1">IF(樣品清單!AS$22="","--",樣品清單!AS$22)</f>
        <v>--</v>
      </c>
      <c r="C34" s="553"/>
      <c r="D34" s="554" t="str">
        <f ca="1">IFERROR(IF(INDEX(測試方法!$A$1:$AZ$98,MATCH(sample20!$D$5,測試方法!$A$1:$A$98,0),MATCH(sample20!B34,測試方法!$A$2:$AZ$2,0))&lt;&gt;"",INDEX(測試方法!$A$1:$AZ$98,MATCH(sample20!$D$5,測試方法!$A$1:$A$98,0),MATCH(sample20!B34,測試方法!$A$2:$AZ$2,0)),"KeyIn"),"--")</f>
        <v>--</v>
      </c>
      <c r="E34" s="553"/>
      <c r="F34" s="555" t="str" cm="1">
        <f t="array" aca="1" ref="F34" ca="1">IFERROR(IF(INDEX(RawData!$A$1:$ZZ$100,MATCH($AG34,RawData!$G$1:$G$100,0),MATCH(--MID(B34,3,10),--LEFT(RawData!$A$1:$ZZ$1,3),0))="&lt;0.000",0,ROUND(INDEX(RawData!$A$1:$ZZ$100,MATCH($AG34,RawData!$G$1:$G$100,0),MATCH(--MID(B34,3,10),--LEFT(RawData!$A$1:$ZZ$1,3),0)),3)),"--")</f>
        <v>--</v>
      </c>
      <c r="G34" s="548"/>
      <c r="H34" s="549"/>
      <c r="I34" s="556" t="str">
        <f t="shared" ca="1" si="0"/>
        <v>--</v>
      </c>
      <c r="J34" s="557"/>
      <c r="K34" s="547" t="str" cm="1">
        <f t="array" aca="1" ref="K34" ca="1">IFERROR(IF(INDEX(RawData!$A$1:$ZZ$100,MATCH($AK34,RawData!$G$1:$G$100,0),MATCH(--MID(B34,3,10),--LEFT(RawData!$A$1:$ZZ$1,3),0))="&lt;0.000",0,ROUND(INDEX(RawData!$A$1:$ZZ$100,MATCH($AK34,RawData!$G$1:$G$100,0),MATCH(--MID(B34,3,10),--LEFT(RawData!$A$1:$ZZ$1,3),0)),3)),"--")</f>
        <v>--</v>
      </c>
      <c r="L34" s="548"/>
      <c r="M34" s="548"/>
      <c r="N34" s="549"/>
      <c r="O34" s="550" t="str">
        <f t="shared" ca="1" si="1"/>
        <v>--</v>
      </c>
      <c r="P34" s="550"/>
      <c r="Q34" s="550"/>
      <c r="R34" s="551"/>
      <c r="S34" s="555" t="str">
        <f t="array" aca="1" ref="S34" ca="1">IFERROR(IF(INDEX(RawData!$A$1:$ZZ$100,MATCH($AO34,RawData!$G$1:$G$100,0),MATCH(--MID(B34,3,10),--LEFT(RawData!$A$1:$ZZ$1,3),0))="&lt;0.000",0,ROUND(INDEX(RawData!$A$1:$ZZ$100,MATCH($AO34,RawData!$G$1:$G$100,0),MATCH(--MID(B34,3,10),--LEFT(RawData!$A$1:$ZZ$1,3),0)),3)),"--")</f>
        <v>--</v>
      </c>
      <c r="T34" s="548"/>
      <c r="U34" s="549"/>
      <c r="V34" s="558" t="s">
        <v>97</v>
      </c>
      <c r="W34" s="558"/>
      <c r="X34" s="547" t="str">
        <f t="array" aca="1" ref="X34" ca="1">IFERROR(IF(INDEX(RawData!$A$1:$ZZ$100,MATCH($AS34,RawData!$G$1:$G$100,0),MATCH(--MID(B34,3,10),--LEFT(RawData!$A$1:$ZZ$1,3),0))="&lt;0.000",0,ROUND(INDEX(RawData!$A$1:$ZZ$100,MATCH($AS34,RawData!$G$1:$G$100,0),MATCH(--MID(B34,3,10),--LEFT(RawData!$A$1:$ZZ$1,3),0)),3)),"--")</f>
        <v>--</v>
      </c>
      <c r="Y34" s="548"/>
      <c r="Z34" s="548"/>
      <c r="AA34" s="549"/>
      <c r="AB34" s="550" t="str">
        <f t="shared" ca="1" si="2"/>
        <v>--</v>
      </c>
      <c r="AC34" s="550"/>
      <c r="AD34" s="550"/>
      <c r="AE34" s="551"/>
      <c r="AF34" s="58"/>
      <c r="AG34" s="530" t="str">
        <f t="shared" ca="1" si="3"/>
        <v>C0YYYY/MM/DD-FD--</v>
      </c>
      <c r="AH34" s="531"/>
      <c r="AI34" s="531"/>
      <c r="AJ34" s="369"/>
      <c r="AK34" s="530" t="str">
        <f ca="1">IF(I34=1,WorkSheet!$AF$39,CONCATENATE(WorkSheet!$AF$39&amp;"D"&amp;I34))</f>
        <v>--D--</v>
      </c>
      <c r="AL34" s="531"/>
      <c r="AM34" s="531"/>
      <c r="AN34" s="369"/>
      <c r="AO34" s="530" t="str">
        <f t="shared" si="4"/>
        <v>C0YYYY/MM/DD-FD--</v>
      </c>
      <c r="AP34" s="531"/>
      <c r="AQ34" s="531"/>
      <c r="AR34" s="369"/>
      <c r="AS34" s="530" t="str">
        <f>IF(V34=1,WorkSheet!$AF$39,CONCATENATE(WorkSheet!$AF$39&amp;"D"&amp;V34))</f>
        <v>--D--</v>
      </c>
      <c r="AT34" s="531"/>
      <c r="AU34" s="531"/>
      <c r="AV34" s="369"/>
    </row>
    <row r="35" spans="1:60" ht="15" x14ac:dyDescent="0.25">
      <c r="A35" s="72" t="str">
        <f ca="1">IF(B35="--",$AG$4,IF(INDEX(測試方法!$A$1:$AZ$98,MATCH($D$5,測試方法!$A$1:$A$98,0),MATCH(B35,測試方法!$A$2:$AZ$2,0))="",$AG$6,$AG$5))</f>
        <v>□</v>
      </c>
      <c r="B35" s="552" t="str">
        <f ca="1">IF(樣品清單!AT$22="","--",樣品清單!AT$22)</f>
        <v>--</v>
      </c>
      <c r="C35" s="553"/>
      <c r="D35" s="554" t="str">
        <f ca="1">IFERROR(IF(INDEX(測試方法!$A$1:$AZ$98,MATCH(sample20!$D$5,測試方法!$A$1:$A$98,0),MATCH(sample20!B35,測試方法!$A$2:$AZ$2,0))&lt;&gt;"",INDEX(測試方法!$A$1:$AZ$98,MATCH(sample20!$D$5,測試方法!$A$1:$A$98,0),MATCH(sample20!B35,測試方法!$A$2:$AZ$2,0)),"KeyIn"),"--")</f>
        <v>--</v>
      </c>
      <c r="E35" s="553"/>
      <c r="F35" s="555" t="str" cm="1">
        <f t="array" aca="1" ref="F35" ca="1">IFERROR(IF(INDEX(RawData!$A$1:$ZZ$100,MATCH($AG35,RawData!$G$1:$G$100,0),MATCH(--MID(B35,3,10),--LEFT(RawData!$A$1:$ZZ$1,3),0))="&lt;0.000",0,ROUND(INDEX(RawData!$A$1:$ZZ$100,MATCH($AG35,RawData!$G$1:$G$100,0),MATCH(--MID(B35,3,10),--LEFT(RawData!$A$1:$ZZ$1,3),0)),3)),"--")</f>
        <v>--</v>
      </c>
      <c r="G35" s="548"/>
      <c r="H35" s="549"/>
      <c r="I35" s="556" t="str">
        <f t="shared" ca="1" si="0"/>
        <v>--</v>
      </c>
      <c r="J35" s="557"/>
      <c r="K35" s="547" t="str" cm="1">
        <f t="array" aca="1" ref="K35" ca="1">IFERROR(IF(INDEX(RawData!$A$1:$ZZ$100,MATCH($AK35,RawData!$G$1:$G$100,0),MATCH(--MID(B35,3,10),--LEFT(RawData!$A$1:$ZZ$1,3),0))="&lt;0.000",0,ROUND(INDEX(RawData!$A$1:$ZZ$100,MATCH($AK35,RawData!$G$1:$G$100,0),MATCH(--MID(B35,3,10),--LEFT(RawData!$A$1:$ZZ$1,3),0)),3)),"--")</f>
        <v>--</v>
      </c>
      <c r="L35" s="548"/>
      <c r="M35" s="548"/>
      <c r="N35" s="549"/>
      <c r="O35" s="550" t="str">
        <f t="shared" ca="1" si="1"/>
        <v>--</v>
      </c>
      <c r="P35" s="550"/>
      <c r="Q35" s="550"/>
      <c r="R35" s="551"/>
      <c r="S35" s="555" t="str">
        <f t="array" aca="1" ref="S35" ca="1">IFERROR(IF(INDEX(RawData!$A$1:$ZZ$100,MATCH($AO35,RawData!$G$1:$G$100,0),MATCH(--MID(B35,3,10),--LEFT(RawData!$A$1:$ZZ$1,3),0))="&lt;0.000",0,ROUND(INDEX(RawData!$A$1:$ZZ$100,MATCH($AO35,RawData!$G$1:$G$100,0),MATCH(--MID(B35,3,10),--LEFT(RawData!$A$1:$ZZ$1,3),0)),3)),"--")</f>
        <v>--</v>
      </c>
      <c r="T35" s="548"/>
      <c r="U35" s="549"/>
      <c r="V35" s="558" t="s">
        <v>97</v>
      </c>
      <c r="W35" s="558"/>
      <c r="X35" s="547" t="str">
        <f t="array" aca="1" ref="X35" ca="1">IFERROR(IF(INDEX(RawData!$A$1:$ZZ$100,MATCH($AS35,RawData!$G$1:$G$100,0),MATCH(--MID(B35,3,10),--LEFT(RawData!$A$1:$ZZ$1,3),0))="&lt;0.000",0,ROUND(INDEX(RawData!$A$1:$ZZ$100,MATCH($AS35,RawData!$G$1:$G$100,0),MATCH(--MID(B35,3,10),--LEFT(RawData!$A$1:$ZZ$1,3),0)),3)),"--")</f>
        <v>--</v>
      </c>
      <c r="Y35" s="548"/>
      <c r="Z35" s="548"/>
      <c r="AA35" s="549"/>
      <c r="AB35" s="550" t="str">
        <f t="shared" ca="1" si="2"/>
        <v>--</v>
      </c>
      <c r="AC35" s="550"/>
      <c r="AD35" s="550"/>
      <c r="AE35" s="551"/>
      <c r="AF35" s="58"/>
      <c r="AG35" s="530" t="str">
        <f t="shared" ca="1" si="3"/>
        <v>C0YYYY/MM/DD-FD--</v>
      </c>
      <c r="AH35" s="531"/>
      <c r="AI35" s="531"/>
      <c r="AJ35" s="369"/>
      <c r="AK35" s="530" t="str">
        <f ca="1">IF(I35=1,WorkSheet!$AF$39,CONCATENATE(WorkSheet!$AF$39&amp;"D"&amp;I35))</f>
        <v>--D--</v>
      </c>
      <c r="AL35" s="531"/>
      <c r="AM35" s="531"/>
      <c r="AN35" s="369"/>
      <c r="AO35" s="530" t="str">
        <f t="shared" si="4"/>
        <v>C0YYYY/MM/DD-FD--</v>
      </c>
      <c r="AP35" s="531"/>
      <c r="AQ35" s="531"/>
      <c r="AR35" s="369"/>
      <c r="AS35" s="530" t="str">
        <f>IF(V35=1,WorkSheet!$AF$39,CONCATENATE(WorkSheet!$AF$39&amp;"D"&amp;V35))</f>
        <v>--D--</v>
      </c>
      <c r="AT35" s="531"/>
      <c r="AU35" s="531"/>
      <c r="AV35" s="369"/>
    </row>
    <row r="36" spans="1:60" ht="15.75" customHeight="1" thickBot="1" x14ac:dyDescent="0.3">
      <c r="A36" s="73" t="str">
        <f ca="1">IF(B36="--",$AG$4,IF(INDEX(測試方法!$A$1:$AZ$98,MATCH($D$5,測試方法!$A$1:$A$98,0),MATCH(B36,測試方法!$A$2:$AZ$2,0))="",$AG$6,$AG$5))</f>
        <v>□</v>
      </c>
      <c r="B36" s="540" t="str">
        <f ca="1">IF(樣品清單!AU$22="","--",樣品清單!AU$22)</f>
        <v>--</v>
      </c>
      <c r="C36" s="541"/>
      <c r="D36" s="542" t="str">
        <f ca="1">IFERROR(IF(INDEX(測試方法!$A$1:$AZ$98,MATCH(sample20!$D$5,測試方法!$A$1:$A$98,0),MATCH(sample20!B36,測試方法!$A$2:$AZ$2,0))&lt;&gt;"",INDEX(測試方法!$A$1:$AZ$98,MATCH(sample20!$D$5,測試方法!$A$1:$A$98,0),MATCH(sample20!B36,測試方法!$A$2:$AZ$2,0)),"KeyIn"),"--")</f>
        <v>--</v>
      </c>
      <c r="E36" s="541"/>
      <c r="F36" s="533" t="str" cm="1">
        <f t="array" aca="1" ref="F36" ca="1">IFERROR(IF(INDEX(RawData!$A$1:$ZZ$100,MATCH($AG36,RawData!$G$1:$G$100,0),MATCH(--MID(B36,3,10),--LEFT(RawData!$A$1:$ZZ$1,3),0))="&lt;0.000",0,ROUND(INDEX(RawData!$A$1:$ZZ$100,MATCH($AG36,RawData!$G$1:$G$100,0),MATCH(--MID(B36,3,10),--LEFT(RawData!$A$1:$ZZ$1,3),0)),3)),"--")</f>
        <v>--</v>
      </c>
      <c r="G36" s="534"/>
      <c r="H36" s="535"/>
      <c r="I36" s="543" t="str">
        <f t="shared" ca="1" si="0"/>
        <v>--</v>
      </c>
      <c r="J36" s="544"/>
      <c r="K36" s="537" t="str" cm="1">
        <f t="array" aca="1" ref="K36" ca="1">IFERROR(IF(INDEX(RawData!$A$1:$ZZ$100,MATCH($AK36,RawData!$G$1:$G$100,0),MATCH(--MID(B36,3,10),--LEFT(RawData!$A$1:$ZZ$1,3),0))="&lt;0.000",0,ROUND(INDEX(RawData!$A$1:$ZZ$100,MATCH($AK36,RawData!$G$1:$G$100,0),MATCH(--MID(B36,3,10),--LEFT(RawData!$A$1:$ZZ$1,3),0)),3)),"--")</f>
        <v>--</v>
      </c>
      <c r="L36" s="534"/>
      <c r="M36" s="534"/>
      <c r="N36" s="535"/>
      <c r="O36" s="538" t="str">
        <f t="shared" ca="1" si="1"/>
        <v>--</v>
      </c>
      <c r="P36" s="538"/>
      <c r="Q36" s="538"/>
      <c r="R36" s="539"/>
      <c r="S36" s="533" t="str">
        <f t="array" aca="1" ref="S36" ca="1">IFERROR(IF(INDEX(RawData!$A$1:$ZZ$100,MATCH($AO36,RawData!$G$1:$G$100,0),MATCH(--MID(B36,3,10),--LEFT(RawData!$A$1:$ZZ$1,3),0))="&lt;0.000",0,ROUND(INDEX(RawData!$A$1:$ZZ$100,MATCH($AO36,RawData!$G$1:$G$100,0),MATCH(--MID(B36,3,10),--LEFT(RawData!$A$1:$ZZ$1,3),0)),3)),"--")</f>
        <v>--</v>
      </c>
      <c r="T36" s="534"/>
      <c r="U36" s="535"/>
      <c r="V36" s="536" t="s">
        <v>97</v>
      </c>
      <c r="W36" s="536"/>
      <c r="X36" s="537" t="str">
        <f t="array" aca="1" ref="X36" ca="1">IFERROR(IF(INDEX(RawData!$A$1:$ZZ$100,MATCH($AS36,RawData!$G$1:$G$100,0),MATCH(--MID(B36,3,10),--LEFT(RawData!$A$1:$ZZ$1,3),0))="&lt;0.000",0,ROUND(INDEX(RawData!$A$1:$ZZ$100,MATCH($AS36,RawData!$G$1:$G$100,0),MATCH(--MID(B36,3,10),--LEFT(RawData!$A$1:$ZZ$1,3),0)),3)),"--")</f>
        <v>--</v>
      </c>
      <c r="Y36" s="534"/>
      <c r="Z36" s="534"/>
      <c r="AA36" s="535"/>
      <c r="AB36" s="538" t="str">
        <f t="shared" ca="1" si="2"/>
        <v>--</v>
      </c>
      <c r="AC36" s="538"/>
      <c r="AD36" s="538"/>
      <c r="AE36" s="539"/>
      <c r="AF36" s="58"/>
      <c r="AG36" s="530" t="str">
        <f t="shared" ca="1" si="3"/>
        <v>C0YYYY/MM/DD-FD--</v>
      </c>
      <c r="AH36" s="531"/>
      <c r="AI36" s="531"/>
      <c r="AJ36" s="369"/>
      <c r="AK36" s="530" t="str">
        <f ca="1">IF(I36=1,WorkSheet!$AF$39,CONCATENATE(WorkSheet!$AF$39&amp;"D"&amp;I36))</f>
        <v>--D--</v>
      </c>
      <c r="AL36" s="531"/>
      <c r="AM36" s="531"/>
      <c r="AN36" s="369"/>
      <c r="AO36" s="530" t="str">
        <f t="shared" si="4"/>
        <v>C0YYYY/MM/DD-FD--</v>
      </c>
      <c r="AP36" s="531"/>
      <c r="AQ36" s="531"/>
      <c r="AR36" s="369"/>
      <c r="AS36" s="530" t="str">
        <f>IF(V36=1,WorkSheet!$AF$39,CONCATENATE(WorkSheet!$AF$39&amp;"D"&amp;V36))</f>
        <v>--D--</v>
      </c>
      <c r="AT36" s="531"/>
      <c r="AU36" s="531"/>
      <c r="AV36" s="369"/>
    </row>
    <row r="37" spans="1:60" ht="15" x14ac:dyDescent="0.25">
      <c r="A37" s="532" t="s">
        <v>31</v>
      </c>
      <c r="B37" s="532"/>
      <c r="C37" s="532"/>
      <c r="D37" s="41" t="s">
        <v>443</v>
      </c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G37" s="40"/>
      <c r="AI37" s="30"/>
    </row>
    <row r="38" spans="1:60" ht="15" x14ac:dyDescent="0.2">
      <c r="A38" s="144"/>
      <c r="B38" s="144"/>
      <c r="C38" s="144"/>
      <c r="D38" s="41" t="s">
        <v>280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G38" s="40"/>
      <c r="AI38" s="30"/>
    </row>
    <row r="39" spans="1:60" ht="15" x14ac:dyDescent="0.25">
      <c r="A39" s="17" t="s">
        <v>30</v>
      </c>
      <c r="B39" s="18"/>
      <c r="C39" s="18"/>
      <c r="D39" s="28"/>
      <c r="E39" s="20"/>
      <c r="F39" s="18"/>
      <c r="G39" s="18"/>
      <c r="H39" s="18"/>
      <c r="I39" s="18"/>
      <c r="J39" s="18"/>
      <c r="K39" s="18"/>
      <c r="L39" s="14"/>
      <c r="M39" s="14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</row>
    <row r="40" spans="1:60" ht="17.100000000000001" customHeight="1" x14ac:dyDescent="0.25">
      <c r="A40" s="4" t="s">
        <v>27</v>
      </c>
      <c r="B40" s="5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5" t="s">
        <v>80</v>
      </c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1:60" ht="17.100000000000001" customHeight="1" x14ac:dyDescent="0.25">
      <c r="A41" s="4" t="s">
        <v>12</v>
      </c>
      <c r="B41" s="5"/>
      <c r="D41" s="6"/>
      <c r="E41" s="16" t="str">
        <f>WorkSheet!S8</f>
        <v>■</v>
      </c>
      <c r="F41" s="1" t="str">
        <f>WorkSheet!T8</f>
        <v>CH798</v>
      </c>
      <c r="H41" s="16" t="str">
        <f>WorkSheet!V8</f>
        <v>□</v>
      </c>
      <c r="I41" s="1" t="str">
        <f>WorkSheet!W8</f>
        <v>CH225</v>
      </c>
      <c r="K41" s="16" t="str">
        <f>WorkSheet!Y8</f>
        <v>□</v>
      </c>
      <c r="L41" s="545" t="str">
        <f>IF(WorkSheet!Z8="","",WorkSheet!Z8)</f>
        <v>CH520</v>
      </c>
      <c r="M41" s="545"/>
      <c r="N41" s="75"/>
      <c r="Q41" s="6"/>
      <c r="R41" s="6"/>
      <c r="U41" s="60" t="s">
        <v>1</v>
      </c>
      <c r="V41" s="1" t="s">
        <v>81</v>
      </c>
      <c r="AI41" s="30"/>
    </row>
    <row r="42" spans="1:60" ht="17.100000000000001" customHeight="1" x14ac:dyDescent="0.25">
      <c r="A42" s="4" t="s">
        <v>13</v>
      </c>
      <c r="B42" s="5"/>
      <c r="D42" s="6"/>
      <c r="E42" s="16" t="str">
        <f>WorkSheet!S12</f>
        <v>□</v>
      </c>
      <c r="F42" s="1" t="str">
        <f>WorkSheet!T12</f>
        <v>CH1091</v>
      </c>
      <c r="H42" s="16" t="str">
        <f>WorkSheet!V12</f>
        <v>□</v>
      </c>
      <c r="I42" s="1" t="str">
        <f>WorkSheet!W12</f>
        <v>CH633</v>
      </c>
      <c r="K42" s="16" t="str">
        <f>WorkSheet!Y12</f>
        <v>□</v>
      </c>
      <c r="L42" s="546" t="str">
        <f>IF(WorkSheet!Z12="","",WorkSheet!Z12)</f>
        <v/>
      </c>
      <c r="M42" s="546"/>
      <c r="N42" s="75"/>
      <c r="Q42" s="6"/>
      <c r="R42" s="6"/>
      <c r="U42" s="60" t="s">
        <v>1</v>
      </c>
      <c r="V42" s="1" t="s">
        <v>82</v>
      </c>
      <c r="AF42" s="4"/>
      <c r="AI42" s="30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60" ht="17.100000000000001" customHeight="1" x14ac:dyDescent="0.25">
      <c r="A43" s="15" t="s">
        <v>161</v>
      </c>
      <c r="B43" s="5"/>
      <c r="D43" s="6"/>
      <c r="E43" s="16" t="str">
        <f>WorkSheet!S9</f>
        <v>□</v>
      </c>
      <c r="F43" s="1" t="str">
        <f>WorkSheet!T9</f>
        <v>CH791</v>
      </c>
      <c r="H43" s="16" t="str">
        <f>WorkSheet!V9</f>
        <v>■</v>
      </c>
      <c r="I43" s="1" t="str">
        <f>WorkSheet!W9</f>
        <v>CH852</v>
      </c>
      <c r="K43" s="16" t="str">
        <f>WorkSheet!Y9</f>
        <v>□</v>
      </c>
      <c r="L43" s="545" t="str">
        <f>IF(WorkSheet!Z9="","",WorkSheet!Z9)</f>
        <v>CH688</v>
      </c>
      <c r="M43" s="545"/>
      <c r="Q43" s="75"/>
      <c r="U43" s="60" t="s">
        <v>1</v>
      </c>
      <c r="V43" s="1" t="s">
        <v>83</v>
      </c>
    </row>
    <row r="44" spans="1:60" ht="17.100000000000001" customHeight="1" x14ac:dyDescent="0.25">
      <c r="A44" s="4" t="s">
        <v>28</v>
      </c>
      <c r="B44" s="4"/>
      <c r="D44" s="7"/>
      <c r="E44" s="16" t="str">
        <f>WorkSheet!S13</f>
        <v>□</v>
      </c>
      <c r="F44" s="1" t="str">
        <f>WorkSheet!T13</f>
        <v>CH944</v>
      </c>
      <c r="H44" s="16" t="str">
        <f>WorkSheet!V13</f>
        <v>□</v>
      </c>
      <c r="I44" s="1" t="str">
        <f>WorkSheet!W13</f>
        <v>CH946</v>
      </c>
      <c r="K44" s="16" t="str">
        <f>WorkSheet!Y13</f>
        <v>□</v>
      </c>
      <c r="L44" s="545" t="str">
        <f>IF(WorkSheet!Z13="","",WorkSheet!Z13)</f>
        <v>CH870</v>
      </c>
      <c r="M44" s="545"/>
      <c r="N44" s="75"/>
      <c r="Q44" s="7"/>
      <c r="R44" s="7"/>
      <c r="U44" s="44" t="s">
        <v>1</v>
      </c>
      <c r="V44" s="1" t="s">
        <v>258</v>
      </c>
    </row>
    <row r="45" spans="1:60" ht="17.100000000000001" customHeight="1" x14ac:dyDescent="0.25">
      <c r="A45" s="4" t="s">
        <v>14</v>
      </c>
      <c r="B45" s="4"/>
      <c r="D45" s="7"/>
      <c r="E45" s="16" t="str">
        <f>WorkSheet!AG9</f>
        <v>■</v>
      </c>
      <c r="F45" s="1" t="str">
        <f>WorkSheet!AF9</f>
        <v>CH673</v>
      </c>
      <c r="H45" s="16" t="str">
        <f>WorkSheet!AG10</f>
        <v>□</v>
      </c>
      <c r="I45" s="1" t="str">
        <f>WorkSheet!AF10</f>
        <v>CH356</v>
      </c>
      <c r="K45" s="16" t="str">
        <f>WorkSheet!AG11</f>
        <v>□</v>
      </c>
      <c r="L45" s="1" t="str">
        <f>WorkSheet!AF11</f>
        <v>CH1063</v>
      </c>
      <c r="O45" s="16" t="str">
        <f>WorkSheet!AG12</f>
        <v>□</v>
      </c>
      <c r="P45" s="525" t="str">
        <f>IF(WorkSheet!AF12="","",WorkSheet!AF12)</f>
        <v/>
      </c>
      <c r="Q45" s="525"/>
    </row>
    <row r="46" spans="1:60" ht="14.25" x14ac:dyDescent="0.25">
      <c r="A46" s="4"/>
      <c r="E46" s="28"/>
      <c r="H46" s="28"/>
      <c r="K46" s="28"/>
      <c r="Q46" s="28"/>
    </row>
    <row r="48" spans="1:60" x14ac:dyDescent="0.25">
      <c r="O48" s="2"/>
      <c r="P48" s="2"/>
    </row>
    <row r="49" spans="1:30" s="135" customFormat="1" ht="15.75" x14ac:dyDescent="0.25">
      <c r="A49" s="526" t="s">
        <v>76</v>
      </c>
      <c r="B49" s="526"/>
      <c r="C49" s="526"/>
      <c r="D49" s="526"/>
      <c r="E49" s="526"/>
      <c r="F49" s="132"/>
      <c r="G49" s="132"/>
      <c r="H49" s="524" t="str">
        <f ca="1">IF(WorkSheet!Y56="--",IF(WorkSheet!T58="","",IF(H49="",TEXT(NOW(),"YYYY/mm/dd hh:mm"),H49)),WorkSheet!Y56)</f>
        <v/>
      </c>
      <c r="I49" s="524"/>
      <c r="J49" s="524"/>
      <c r="K49" s="524"/>
      <c r="L49" s="524"/>
      <c r="M49" s="524"/>
      <c r="N49" s="169"/>
      <c r="O49" s="133"/>
      <c r="P49" s="527" t="s">
        <v>77</v>
      </c>
      <c r="Q49" s="523"/>
      <c r="R49" s="523"/>
      <c r="S49" s="523"/>
      <c r="T49" s="134"/>
      <c r="U49" s="528"/>
      <c r="V49" s="529"/>
      <c r="W49" s="529"/>
      <c r="X49" s="529"/>
      <c r="Y49" s="523"/>
      <c r="Z49" s="523"/>
      <c r="AA49" s="523"/>
      <c r="AB49" s="523"/>
      <c r="AC49" s="523"/>
      <c r="AD49" s="523"/>
    </row>
  </sheetData>
  <sheetProtection sheet="1" objects="1" scenarios="1"/>
  <mergeCells count="337">
    <mergeCell ref="L43:M43"/>
    <mergeCell ref="L44:M44"/>
    <mergeCell ref="B10:C10"/>
    <mergeCell ref="M12:AD12"/>
    <mergeCell ref="B9:C9"/>
    <mergeCell ref="D9:E9"/>
    <mergeCell ref="H9:J9"/>
    <mergeCell ref="K9:L9"/>
    <mergeCell ref="O9:P9"/>
    <mergeCell ref="S21:U21"/>
    <mergeCell ref="V21:W21"/>
    <mergeCell ref="X21:AA21"/>
    <mergeCell ref="D21:E21"/>
    <mergeCell ref="F21:H21"/>
    <mergeCell ref="I21:J21"/>
    <mergeCell ref="K21:N21"/>
    <mergeCell ref="O21:R21"/>
    <mergeCell ref="D22:E22"/>
    <mergeCell ref="F22:H22"/>
    <mergeCell ref="I22:J22"/>
    <mergeCell ref="K22:N22"/>
    <mergeCell ref="D23:E23"/>
    <mergeCell ref="F23:H23"/>
    <mergeCell ref="I23:J23"/>
    <mergeCell ref="AK18:AN18"/>
    <mergeCell ref="AO18:AR18"/>
    <mergeCell ref="D16:E17"/>
    <mergeCell ref="F16:H16"/>
    <mergeCell ref="I16:J17"/>
    <mergeCell ref="K16:N16"/>
    <mergeCell ref="O16:R16"/>
    <mergeCell ref="AC10:AD10"/>
    <mergeCell ref="AI10:AS10"/>
    <mergeCell ref="W11:AB11"/>
    <mergeCell ref="AC11:AD11"/>
    <mergeCell ref="AI11:AS11"/>
    <mergeCell ref="H10:J10"/>
    <mergeCell ref="K10:L10"/>
    <mergeCell ref="O10:Q10"/>
    <mergeCell ref="R10:V10"/>
    <mergeCell ref="W10:AB10"/>
    <mergeCell ref="D18:E18"/>
    <mergeCell ref="AI9:AS9"/>
    <mergeCell ref="AG16:AJ16"/>
    <mergeCell ref="AG17:AV17"/>
    <mergeCell ref="AB18:AE18"/>
    <mergeCell ref="AS18:AV18"/>
    <mergeCell ref="A2:AE2"/>
    <mergeCell ref="AI2:AS2"/>
    <mergeCell ref="X3:Z3"/>
    <mergeCell ref="AA3:AE3"/>
    <mergeCell ref="A7:D7"/>
    <mergeCell ref="E7:I7"/>
    <mergeCell ref="K7:N7"/>
    <mergeCell ref="O7:R7"/>
    <mergeCell ref="AI7:AS7"/>
    <mergeCell ref="A5:C5"/>
    <mergeCell ref="D5:AE5"/>
    <mergeCell ref="A6:C6"/>
    <mergeCell ref="AI4:AS4"/>
    <mergeCell ref="D6:AE6"/>
    <mergeCell ref="AI6:AS6"/>
    <mergeCell ref="AI3:AS3"/>
    <mergeCell ref="AI5:AT5"/>
    <mergeCell ref="A8:D8"/>
    <mergeCell ref="W8:AD8"/>
    <mergeCell ref="AI8:AS8"/>
    <mergeCell ref="A16:C18"/>
    <mergeCell ref="Q9:R9"/>
    <mergeCell ref="S16:U16"/>
    <mergeCell ref="V16:W17"/>
    <mergeCell ref="X16:AA16"/>
    <mergeCell ref="AB16:AE16"/>
    <mergeCell ref="F17:H17"/>
    <mergeCell ref="K17:N17"/>
    <mergeCell ref="O17:R17"/>
    <mergeCell ref="S17:U17"/>
    <mergeCell ref="X17:AA17"/>
    <mergeCell ref="AB17:AE17"/>
    <mergeCell ref="W9:AB9"/>
    <mergeCell ref="AC9:AD9"/>
    <mergeCell ref="F18:H18"/>
    <mergeCell ref="I18:J18"/>
    <mergeCell ref="K18:N18"/>
    <mergeCell ref="O18:R18"/>
    <mergeCell ref="S18:U18"/>
    <mergeCell ref="V18:W18"/>
    <mergeCell ref="X18:AA18"/>
    <mergeCell ref="AG18:AJ18"/>
    <mergeCell ref="D10:E10"/>
    <mergeCell ref="BQ19:BT20"/>
    <mergeCell ref="D20:E20"/>
    <mergeCell ref="F20:H20"/>
    <mergeCell ref="I20:J20"/>
    <mergeCell ref="K20:N20"/>
    <mergeCell ref="O20:R20"/>
    <mergeCell ref="S20:U20"/>
    <mergeCell ref="V20:W20"/>
    <mergeCell ref="X20:AA20"/>
    <mergeCell ref="V19:W19"/>
    <mergeCell ref="X19:AA19"/>
    <mergeCell ref="AB19:AE19"/>
    <mergeCell ref="AG19:AJ19"/>
    <mergeCell ref="AK19:AN19"/>
    <mergeCell ref="AO19:AR19"/>
    <mergeCell ref="AB20:AE20"/>
    <mergeCell ref="AG20:AJ20"/>
    <mergeCell ref="AK20:AN20"/>
    <mergeCell ref="AO20:AR20"/>
    <mergeCell ref="AS20:AV20"/>
    <mergeCell ref="D19:E19"/>
    <mergeCell ref="F19:H19"/>
    <mergeCell ref="I19:J19"/>
    <mergeCell ref="K19:N19"/>
    <mergeCell ref="AO21:AR21"/>
    <mergeCell ref="AS21:AV21"/>
    <mergeCell ref="AB21:AE21"/>
    <mergeCell ref="AG21:AJ21"/>
    <mergeCell ref="AK21:AN21"/>
    <mergeCell ref="O19:R19"/>
    <mergeCell ref="S19:U19"/>
    <mergeCell ref="AS19:AV19"/>
    <mergeCell ref="V24:W24"/>
    <mergeCell ref="X24:AA24"/>
    <mergeCell ref="S23:U23"/>
    <mergeCell ref="V23:W23"/>
    <mergeCell ref="X23:AA23"/>
    <mergeCell ref="AO22:AR22"/>
    <mergeCell ref="O22:R22"/>
    <mergeCell ref="S22:U22"/>
    <mergeCell ref="V22:W22"/>
    <mergeCell ref="X22:AA22"/>
    <mergeCell ref="AS22:AV22"/>
    <mergeCell ref="K23:N23"/>
    <mergeCell ref="O23:R23"/>
    <mergeCell ref="AO23:AR23"/>
    <mergeCell ref="AS23:AV23"/>
    <mergeCell ref="AB23:AE23"/>
    <mergeCell ref="AG23:AJ23"/>
    <mergeCell ref="AK23:AN23"/>
    <mergeCell ref="AB22:AE22"/>
    <mergeCell ref="AG22:AJ22"/>
    <mergeCell ref="AK22:AN22"/>
    <mergeCell ref="S25:U25"/>
    <mergeCell ref="V25:W25"/>
    <mergeCell ref="X25:AA25"/>
    <mergeCell ref="AB24:AE24"/>
    <mergeCell ref="AG24:AJ24"/>
    <mergeCell ref="AK24:AN24"/>
    <mergeCell ref="AO24:AR24"/>
    <mergeCell ref="AS24:AV24"/>
    <mergeCell ref="D25:E25"/>
    <mergeCell ref="F25:H25"/>
    <mergeCell ref="I25:J25"/>
    <mergeCell ref="K25:N25"/>
    <mergeCell ref="O25:R25"/>
    <mergeCell ref="AO25:AR25"/>
    <mergeCell ref="AS25:AV25"/>
    <mergeCell ref="AB25:AE25"/>
    <mergeCell ref="AG25:AJ25"/>
    <mergeCell ref="AK25:AN25"/>
    <mergeCell ref="D24:E24"/>
    <mergeCell ref="F24:H24"/>
    <mergeCell ref="I24:J24"/>
    <mergeCell ref="K24:N24"/>
    <mergeCell ref="O24:R24"/>
    <mergeCell ref="S24:U24"/>
    <mergeCell ref="O27:R27"/>
    <mergeCell ref="AO27:AR27"/>
    <mergeCell ref="AS27:AV27"/>
    <mergeCell ref="AB27:AE27"/>
    <mergeCell ref="AG27:AJ27"/>
    <mergeCell ref="AK27:AN27"/>
    <mergeCell ref="D26:E26"/>
    <mergeCell ref="F26:H26"/>
    <mergeCell ref="I26:J26"/>
    <mergeCell ref="K26:N26"/>
    <mergeCell ref="O26:R26"/>
    <mergeCell ref="S26:U26"/>
    <mergeCell ref="V26:W26"/>
    <mergeCell ref="X26:AA26"/>
    <mergeCell ref="K27:N27"/>
    <mergeCell ref="V28:W28"/>
    <mergeCell ref="X28:AA28"/>
    <mergeCell ref="S27:U27"/>
    <mergeCell ref="V27:W27"/>
    <mergeCell ref="X27:AA27"/>
    <mergeCell ref="AG26:AJ26"/>
    <mergeCell ref="AK26:AN26"/>
    <mergeCell ref="AO26:AR26"/>
    <mergeCell ref="AS26:AV26"/>
    <mergeCell ref="X30:AA30"/>
    <mergeCell ref="S29:U29"/>
    <mergeCell ref="V29:W29"/>
    <mergeCell ref="X29:AA29"/>
    <mergeCell ref="AG28:AJ28"/>
    <mergeCell ref="AK28:AN28"/>
    <mergeCell ref="AO28:AR28"/>
    <mergeCell ref="AS28:AV28"/>
    <mergeCell ref="D29:E29"/>
    <mergeCell ref="F29:H29"/>
    <mergeCell ref="I29:J29"/>
    <mergeCell ref="K29:N29"/>
    <mergeCell ref="O29:R29"/>
    <mergeCell ref="AO29:AR29"/>
    <mergeCell ref="AS29:AV29"/>
    <mergeCell ref="AB29:AE29"/>
    <mergeCell ref="AG29:AJ29"/>
    <mergeCell ref="AK29:AN29"/>
    <mergeCell ref="D28:E28"/>
    <mergeCell ref="F28:H28"/>
    <mergeCell ref="I28:J28"/>
    <mergeCell ref="K28:N28"/>
    <mergeCell ref="O28:R28"/>
    <mergeCell ref="S28:U28"/>
    <mergeCell ref="S31:U31"/>
    <mergeCell ref="V31:W31"/>
    <mergeCell ref="X31:AA31"/>
    <mergeCell ref="AG30:AJ30"/>
    <mergeCell ref="AK30:AN30"/>
    <mergeCell ref="AO30:AR30"/>
    <mergeCell ref="AS30:AV30"/>
    <mergeCell ref="D31:E31"/>
    <mergeCell ref="F31:H31"/>
    <mergeCell ref="I31:J31"/>
    <mergeCell ref="K31:N31"/>
    <mergeCell ref="O31:R31"/>
    <mergeCell ref="AO31:AR31"/>
    <mergeCell ref="AS31:AV31"/>
    <mergeCell ref="AB31:AE31"/>
    <mergeCell ref="AG31:AJ31"/>
    <mergeCell ref="AK31:AN31"/>
    <mergeCell ref="D30:E30"/>
    <mergeCell ref="F30:H30"/>
    <mergeCell ref="I30:J30"/>
    <mergeCell ref="K30:N30"/>
    <mergeCell ref="O30:R30"/>
    <mergeCell ref="S30:U30"/>
    <mergeCell ref="V30:W30"/>
    <mergeCell ref="V33:W33"/>
    <mergeCell ref="X33:AA33"/>
    <mergeCell ref="AG32:AJ32"/>
    <mergeCell ref="AK32:AN32"/>
    <mergeCell ref="AO32:AR32"/>
    <mergeCell ref="AS32:AV32"/>
    <mergeCell ref="D33:E33"/>
    <mergeCell ref="F33:H33"/>
    <mergeCell ref="I33:J33"/>
    <mergeCell ref="K33:N33"/>
    <mergeCell ref="O33:R33"/>
    <mergeCell ref="AO33:AR33"/>
    <mergeCell ref="AS33:AV33"/>
    <mergeCell ref="AB33:AE33"/>
    <mergeCell ref="AG33:AJ33"/>
    <mergeCell ref="AK33:AN33"/>
    <mergeCell ref="D32:E32"/>
    <mergeCell ref="F32:H32"/>
    <mergeCell ref="I32:J32"/>
    <mergeCell ref="K32:N32"/>
    <mergeCell ref="O32:R32"/>
    <mergeCell ref="S32:U32"/>
    <mergeCell ref="V32:W32"/>
    <mergeCell ref="X32:AA32"/>
    <mergeCell ref="AG34:AJ34"/>
    <mergeCell ref="AK34:AN34"/>
    <mergeCell ref="AO34:AR34"/>
    <mergeCell ref="AS34:AV34"/>
    <mergeCell ref="D35:E35"/>
    <mergeCell ref="F35:H35"/>
    <mergeCell ref="I35:J35"/>
    <mergeCell ref="K35:N35"/>
    <mergeCell ref="O35:R35"/>
    <mergeCell ref="D34:E34"/>
    <mergeCell ref="F34:H34"/>
    <mergeCell ref="I34:J34"/>
    <mergeCell ref="K34:N34"/>
    <mergeCell ref="O34:R34"/>
    <mergeCell ref="S34:U34"/>
    <mergeCell ref="V34:W34"/>
    <mergeCell ref="X34:AA34"/>
    <mergeCell ref="AG36:AJ36"/>
    <mergeCell ref="AK36:AN36"/>
    <mergeCell ref="AO36:AR36"/>
    <mergeCell ref="AS36:AV36"/>
    <mergeCell ref="A37:C37"/>
    <mergeCell ref="AO35:AR35"/>
    <mergeCell ref="AS35:AV35"/>
    <mergeCell ref="D36:E36"/>
    <mergeCell ref="F36:H36"/>
    <mergeCell ref="I36:J36"/>
    <mergeCell ref="K36:N36"/>
    <mergeCell ref="O36:R36"/>
    <mergeCell ref="S36:U36"/>
    <mergeCell ref="V36:W36"/>
    <mergeCell ref="X36:AA36"/>
    <mergeCell ref="S35:U35"/>
    <mergeCell ref="V35:W35"/>
    <mergeCell ref="X35:AA35"/>
    <mergeCell ref="AB35:AE35"/>
    <mergeCell ref="AG35:AJ35"/>
    <mergeCell ref="AK35:AN35"/>
    <mergeCell ref="B36:C36"/>
    <mergeCell ref="U49:X49"/>
    <mergeCell ref="Y49:AD49"/>
    <mergeCell ref="B19:C19"/>
    <mergeCell ref="B20:C20"/>
    <mergeCell ref="B21:C21"/>
    <mergeCell ref="B22:C22"/>
    <mergeCell ref="B23:C23"/>
    <mergeCell ref="B24:C24"/>
    <mergeCell ref="B25:C25"/>
    <mergeCell ref="B26:C26"/>
    <mergeCell ref="P45:Q45"/>
    <mergeCell ref="A49:E49"/>
    <mergeCell ref="P49:S49"/>
    <mergeCell ref="AB36:AE36"/>
    <mergeCell ref="AB34:AE34"/>
    <mergeCell ref="AB32:AE32"/>
    <mergeCell ref="AB30:AE30"/>
    <mergeCell ref="AB28:AE28"/>
    <mergeCell ref="AB26:AE26"/>
    <mergeCell ref="S33:U33"/>
    <mergeCell ref="H49:M49"/>
    <mergeCell ref="B33:C33"/>
    <mergeCell ref="B34:C34"/>
    <mergeCell ref="B35:C35"/>
    <mergeCell ref="L41:M41"/>
    <mergeCell ref="L42:M42"/>
    <mergeCell ref="B27:C27"/>
    <mergeCell ref="B28:C28"/>
    <mergeCell ref="B29:C29"/>
    <mergeCell ref="B30:C30"/>
    <mergeCell ref="B31:C31"/>
    <mergeCell ref="B32:C32"/>
    <mergeCell ref="D27:E27"/>
    <mergeCell ref="F27:H27"/>
    <mergeCell ref="I27:J27"/>
  </mergeCells>
  <phoneticPr fontId="2" type="noConversion"/>
  <dataValidations count="3">
    <dataValidation type="list" allowBlank="1" showInputMessage="1" showErrorMessage="1" sqref="E41:E46 K41:K46 Q46 H41:H46 K43 D39 U41:U43 A9:A10 N9:N10 A12 K12 F12 G9:G10 O45 A19:A36" xr:uid="{00000000-0002-0000-1900-000000000000}">
      <formula1>$AG$4:$AG$5</formula1>
    </dataValidation>
    <dataValidation type="list" allowBlank="1" showInputMessage="1" showErrorMessage="1" sqref="L12" xr:uid="{00000000-0002-0000-1900-000001000000}">
      <formula1>$AG$4:$AG$7</formula1>
    </dataValidation>
    <dataValidation type="list" allowBlank="1" showInputMessage="1" showErrorMessage="1" sqref="U44" xr:uid="{00000000-0002-0000-1900-000002000000}">
      <formula1>$AF$4:$AF$5</formula1>
    </dataValidation>
  </dataValidations>
  <hyperlinks>
    <hyperlink ref="AF1" location="WorkSheet!A1" display="批次表" xr:uid="{00000000-0004-0000-1900-000000000000}"/>
    <hyperlink ref="AF2" location="樣品清單!A1" display="樣品清單" xr:uid="{00000000-0004-0000-1900-000001000000}"/>
  </hyperlinks>
  <pageMargins left="0.59055118110236227" right="0.59055118110236227" top="1.0629921259842521" bottom="0.47244094488188981" header="0.59055118110236227" footer="0"/>
  <pageSetup paperSize="9" orientation="portrait" r:id="rId1"/>
  <headerFooter>
    <oddHeader>&amp;L&amp;G</oddHeader>
    <oddFooter>&amp;R&amp;"Calibri,Regular"FC17-CHI999-W54e Rev 1.3
Page 1 of 1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60</vt:i4>
      </vt:variant>
    </vt:vector>
  </HeadingPairs>
  <TitlesOfParts>
    <vt:vector size="86" baseType="lpstr">
      <vt:lpstr>FMS</vt:lpstr>
      <vt:lpstr>樣品清單</vt:lpstr>
      <vt:lpstr>WorkSheet</vt:lpstr>
      <vt:lpstr>測試方法</vt:lpstr>
      <vt:lpstr>RawData</vt:lpstr>
      <vt:lpstr>Replicates</vt:lpstr>
      <vt:lpstr>sample1</vt:lpstr>
      <vt:lpstr>sample2</vt:lpstr>
      <vt:lpstr>sample3</vt:lpstr>
      <vt:lpstr>sample4</vt:lpstr>
      <vt:lpstr>sample5</vt:lpstr>
      <vt:lpstr>sample6</vt:lpstr>
      <vt:lpstr>sample7</vt:lpstr>
      <vt:lpstr>sample8</vt:lpstr>
      <vt:lpstr>sample9</vt:lpstr>
      <vt:lpstr>sample10</vt:lpstr>
      <vt:lpstr>sample11</vt:lpstr>
      <vt:lpstr>sample12</vt:lpstr>
      <vt:lpstr>sample13</vt:lpstr>
      <vt:lpstr>sample14</vt:lpstr>
      <vt:lpstr>sample15</vt:lpstr>
      <vt:lpstr>sample16</vt:lpstr>
      <vt:lpstr>sample17</vt:lpstr>
      <vt:lpstr>sample18</vt:lpstr>
      <vt:lpstr>sample19</vt:lpstr>
      <vt:lpstr>sample20</vt:lpstr>
      <vt:lpstr>Date</vt:lpstr>
      <vt:lpstr>Digestion</vt:lpstr>
      <vt:lpstr>FMS_Job</vt:lpstr>
      <vt:lpstr>HT1_</vt:lpstr>
      <vt:lpstr>HT2_</vt:lpstr>
      <vt:lpstr>job_name</vt:lpstr>
      <vt:lpstr>Job_No</vt:lpstr>
      <vt:lpstr>Lab_Reference</vt:lpstr>
      <vt:lpstr>LOQ</vt:lpstr>
      <vt:lpstr>Method</vt:lpstr>
      <vt:lpstr>Replicates!Print_Area</vt:lpstr>
      <vt:lpstr>sample1!Print_Area</vt:lpstr>
      <vt:lpstr>sample10!Print_Area</vt:lpstr>
      <vt:lpstr>sample11!Print_Area</vt:lpstr>
      <vt:lpstr>sample12!Print_Area</vt:lpstr>
      <vt:lpstr>sample13!Print_Area</vt:lpstr>
      <vt:lpstr>sample14!Print_Area</vt:lpstr>
      <vt:lpstr>sample15!Print_Area</vt:lpstr>
      <vt:lpstr>sample16!Print_Area</vt:lpstr>
      <vt:lpstr>sample17!Print_Area</vt:lpstr>
      <vt:lpstr>sample18!Print_Area</vt:lpstr>
      <vt:lpstr>sample19!Print_Area</vt:lpstr>
      <vt:lpstr>sample2!Print_Area</vt:lpstr>
      <vt:lpstr>sample20!Print_Area</vt:lpstr>
      <vt:lpstr>sample3!Print_Area</vt:lpstr>
      <vt:lpstr>sample4!Print_Area</vt:lpstr>
      <vt:lpstr>sample5!Print_Area</vt:lpstr>
      <vt:lpstr>sample6!Print_Area</vt:lpstr>
      <vt:lpstr>sample7!Print_Area</vt:lpstr>
      <vt:lpstr>sample8!Print_Area</vt:lpstr>
      <vt:lpstr>sample9!Print_Area</vt:lpstr>
      <vt:lpstr>WorkSheet!Print_Area</vt:lpstr>
      <vt:lpstr>樣品清單!Print_Area</vt:lpstr>
      <vt:lpstr>Replicates!Print_Titles</vt:lpstr>
      <vt:lpstr>WorkSheet!Print_Titles</vt:lpstr>
      <vt:lpstr>RP</vt:lpstr>
      <vt:lpstr>RT1_</vt:lpstr>
      <vt:lpstr>RT2_</vt:lpstr>
      <vt:lpstr>samplename</vt:lpstr>
      <vt:lpstr>T1_</vt:lpstr>
      <vt:lpstr>T2_</vt:lpstr>
      <vt:lpstr>TEST</vt:lpstr>
      <vt:lpstr>title</vt:lpstr>
      <vt:lpstr>V</vt:lpstr>
      <vt:lpstr>W</vt:lpstr>
      <vt:lpstr>W1_</vt:lpstr>
      <vt:lpstr>W2_</vt:lpstr>
      <vt:lpstr>內標</vt:lpstr>
      <vt:lpstr>代號</vt:lpstr>
      <vt:lpstr>共用</vt:lpstr>
      <vt:lpstr>取樣單位</vt:lpstr>
      <vt:lpstr>取樣量</vt:lpstr>
      <vt:lpstr>定量體積</vt:lpstr>
      <vt:lpstr>消化參數</vt:lpstr>
      <vt:lpstr>特殊需求</vt:lpstr>
      <vt:lpstr>氫氟酸</vt:lpstr>
      <vt:lpstr>硝酸</vt:lpstr>
      <vt:lpstr>超純硝酸</vt:lpstr>
      <vt:lpstr>過氧化氫</vt:lpstr>
      <vt:lpstr>鹽酸</vt:lpstr>
    </vt:vector>
  </TitlesOfParts>
  <Company>Intertek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Tommy Chen  Intertek</cp:lastModifiedBy>
  <cp:lastPrinted>2025-04-09T08:01:25Z</cp:lastPrinted>
  <dcterms:created xsi:type="dcterms:W3CDTF">2017-03-24T06:18:47Z</dcterms:created>
  <dcterms:modified xsi:type="dcterms:W3CDTF">2025-12-02T03:41:52Z</dcterms:modified>
</cp:coreProperties>
</file>